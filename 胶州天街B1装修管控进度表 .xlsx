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1装修管控总表（优化版）" sheetId="1" r:id="rId3"/>
    <sheet name="改造后B1招商预签品牌" sheetId="2" r:id="rId4"/>
  </sheets>
  <externalReferences>
    <externalReference r:id="rId5"/>
  </externalReferences>
  <definedNames>
    <definedName name="_xlnm._FilterDatabase" localSheetId="0">'B1装修管控总表（优化版）'!$B$1:$AF$62</definedName>
  </definedNames>
  <calcPr calcId="191029"/>
</workbook>
</file>

<file path=xl/sharedStrings.xml><?xml version="1.0" encoding="utf-8"?>
<sst xmlns="http://schemas.openxmlformats.org/spreadsheetml/2006/main" count="305" uniqueCount="305">
  <si>
    <t/>
  </si>
  <si>
    <t>商铺号</t>
  </si>
  <si>
    <t>商铺名称</t>
  </si>
  <si>
    <t>面积㎡</t>
  </si>
  <si>
    <t>招商拉群对接</t>
  </si>
  <si>
    <t>运营对接人</t>
  </si>
  <si>
    <t>围挡搭建</t>
  </si>
  <si>
    <t>合作意向确认</t>
  </si>
  <si>
    <t>是否给到红线</t>
  </si>
  <si>
    <t>合同约定接铺时间</t>
  </si>
  <si>
    <t>预计进场时间</t>
  </si>
  <si>
    <t>是否进场</t>
  </si>
  <si>
    <t>实际接铺时间</t>
  </si>
  <si>
    <t>平面图预计出图时间</t>
  </si>
  <si>
    <t>效果图预计出图时间</t>
  </si>
  <si>
    <t>施工图预计出图时间</t>
  </si>
  <si>
    <t>平面图实际出图时间</t>
  </si>
  <si>
    <t>效果图实际出图实际</t>
  </si>
  <si>
    <t>施工图实际出图时间</t>
  </si>
  <si>
    <t>施工保险</t>
  </si>
  <si>
    <t>门头施工交底</t>
  </si>
  <si>
    <t>营业执照是否取得</t>
  </si>
  <si>
    <t>食品经营许可证取得</t>
  </si>
  <si>
    <t>消防改造是否完成</t>
  </si>
  <si>
    <t>空调改造是否完成</t>
  </si>
  <si>
    <t>闭水验收</t>
  </si>
  <si>
    <t>隐蔽验收</t>
  </si>
  <si>
    <t>合同约定开业日期</t>
  </si>
  <si>
    <t>预计开业时间</t>
  </si>
  <si>
    <t>提前开业天数</t>
  </si>
  <si>
    <t>提前开业租金</t>
  </si>
  <si>
    <t>目前施工状态</t>
  </si>
  <si>
    <t>改造后-超市区域</t>
  </si>
  <si>
    <t>A栋-B1-40</t>
  </si>
  <si>
    <t>树夏</t>
  </si>
  <si>
    <t>A栋-B1-41</t>
  </si>
  <si>
    <t>OPPO</t>
  </si>
  <si>
    <t>是</t>
  </si>
  <si>
    <t>宫笑</t>
  </si>
  <si>
    <t>7.5</t>
  </si>
  <si>
    <t>A栋-B1-42</t>
  </si>
  <si>
    <t>VIVO</t>
  </si>
  <si>
    <t>A栋-B1-43</t>
  </si>
  <si>
    <t>同方药业</t>
  </si>
  <si>
    <t>冷娜</t>
  </si>
  <si>
    <t>A栋-B1-45</t>
  </si>
  <si>
    <t>诺特兰德</t>
  </si>
  <si>
    <t>A栋-B1-46</t>
  </si>
  <si>
    <t>科大讯飞</t>
  </si>
  <si>
    <t>A栋-B1-47</t>
  </si>
  <si>
    <t>洗脸猫</t>
  </si>
  <si>
    <t>已出图调整修改中</t>
  </si>
  <si>
    <t>A栋-B1-48</t>
  </si>
  <si>
    <t>卡游</t>
  </si>
  <si>
    <t>A栋-B1-49</t>
  </si>
  <si>
    <t>宠有家</t>
  </si>
  <si>
    <t>薛洁</t>
  </si>
  <si>
    <t>A栋-B1-50</t>
  </si>
  <si>
    <t>A-B1-Z01</t>
  </si>
  <si>
    <t>超市</t>
  </si>
  <si>
    <t>孟祥臻</t>
  </si>
  <si>
    <t>6.2（第一版已出）</t>
  </si>
  <si>
    <t>改造后-中岛</t>
  </si>
  <si>
    <t>A栋-B1-53</t>
  </si>
  <si>
    <t>SKG-营运外摆</t>
  </si>
  <si>
    <t>A栋-B1-54</t>
  </si>
  <si>
    <t>添可-营运外摆</t>
  </si>
  <si>
    <t>A栋-B1-55</t>
  </si>
  <si>
    <t>DYSON-营运外摆</t>
  </si>
  <si>
    <t>A栋-B1-56</t>
  </si>
  <si>
    <t>李山山茶室</t>
  </si>
  <si>
    <t>A栋-B1-57</t>
  </si>
  <si>
    <t>李山山外摆</t>
  </si>
  <si>
    <t>A栋-B1-58</t>
  </si>
  <si>
    <t>琦王花生</t>
  </si>
  <si>
    <t>许如邯</t>
  </si>
  <si>
    <t>否</t>
  </si>
  <si>
    <t>A栋-B1-59</t>
  </si>
  <si>
    <t>薛记</t>
  </si>
  <si>
    <t>A栋-B1-60</t>
  </si>
  <si>
    <t>目光眼镜</t>
  </si>
  <si>
    <t>7.10</t>
  </si>
  <si>
    <t>A栋-B1-61</t>
  </si>
  <si>
    <t>膜壳先锋</t>
  </si>
  <si>
    <t>A栋-B1-62</t>
  </si>
  <si>
    <t>瑞幸外摆</t>
  </si>
  <si>
    <t>张潇</t>
  </si>
  <si>
    <t>A栋-B1-63</t>
  </si>
  <si>
    <t>罗曼林</t>
  </si>
  <si>
    <t>A栋-B1-64</t>
  </si>
  <si>
    <t>德菲梵</t>
  </si>
  <si>
    <t>A栋-B1-65</t>
  </si>
  <si>
    <t>名之屋</t>
  </si>
  <si>
    <t>A栋-B1-66</t>
  </si>
  <si>
    <t>柑啵啵</t>
  </si>
  <si>
    <t>A栋-B1-67</t>
  </si>
  <si>
    <t>有堂古</t>
  </si>
  <si>
    <t>A栋-B1-68</t>
  </si>
  <si>
    <t>鲜目录寿司</t>
  </si>
  <si>
    <t>A栋-B1-69</t>
  </si>
  <si>
    <t>德菲凡</t>
  </si>
  <si>
    <t>A栋-B1-70</t>
  </si>
  <si>
    <t>果小铺</t>
  </si>
  <si>
    <t>A栋-B1-71</t>
  </si>
  <si>
    <t>周黑鸭</t>
  </si>
  <si>
    <t>7.2</t>
  </si>
  <si>
    <t>A栋-B1-72</t>
  </si>
  <si>
    <t>琴岛留香</t>
  </si>
  <si>
    <t>A栋-B1-73</t>
  </si>
  <si>
    <t>巧克叔叔</t>
  </si>
  <si>
    <t>A栋-B1-74</t>
  </si>
  <si>
    <t>糖小妙</t>
  </si>
  <si>
    <t>A栋-B1-75</t>
  </si>
  <si>
    <t>fufuland</t>
  </si>
  <si>
    <t>A栋-B1-76</t>
  </si>
  <si>
    <t>茉酸奶</t>
  </si>
  <si>
    <t>改造后-边铺</t>
  </si>
  <si>
    <t>A栋-B1-01</t>
  </si>
  <si>
    <t>比木.卡西西</t>
  </si>
  <si>
    <t>A栋-B1-02</t>
  </si>
  <si>
    <t>嗨嗨儿</t>
  </si>
  <si>
    <t>/</t>
  </si>
  <si>
    <t>A栋-B1-03</t>
  </si>
  <si>
    <t>犟骨头超级排骨饭</t>
  </si>
  <si>
    <t>6.16</t>
  </si>
  <si>
    <t>A栋-B1-05</t>
  </si>
  <si>
    <t>品秦川</t>
  </si>
  <si>
    <t>A栋-B1-06</t>
  </si>
  <si>
    <t>太犇牛</t>
  </si>
  <si>
    <t>A栋-B1-07</t>
  </si>
  <si>
    <t>丹香</t>
  </si>
  <si>
    <t>A栋-B1-08</t>
  </si>
  <si>
    <t>宫合记</t>
  </si>
  <si>
    <t>6.17</t>
  </si>
  <si>
    <t>A栋-B1-09</t>
  </si>
  <si>
    <t>李若桃</t>
  </si>
  <si>
    <t>A栋-B1-10，A栋-B1-11a</t>
  </si>
  <si>
    <t>花小福</t>
  </si>
  <si>
    <t>A栋-B1-11b</t>
  </si>
  <si>
    <t>柠季</t>
  </si>
  <si>
    <t>A栋-B1-12a，A栋-B1-12b</t>
  </si>
  <si>
    <t>瑞幸</t>
  </si>
  <si>
    <t>A栋-B1-13</t>
  </si>
  <si>
    <t>联想</t>
  </si>
  <si>
    <t>A栋-B1-15</t>
  </si>
  <si>
    <t>转转</t>
  </si>
  <si>
    <t>A栋-B1-16</t>
  </si>
  <si>
    <t>任天堂</t>
  </si>
  <si>
    <t>A栋-B1-17</t>
  </si>
  <si>
    <t>阿香米线</t>
  </si>
  <si>
    <t>7.25</t>
  </si>
  <si>
    <t>A栋-B1-18a</t>
  </si>
  <si>
    <t>满巍明</t>
  </si>
  <si>
    <t>A栋-B1-18b</t>
  </si>
  <si>
    <t>玖铭</t>
  </si>
  <si>
    <t>A栋-B1-19b</t>
  </si>
  <si>
    <t>鹏程脂渣</t>
  </si>
  <si>
    <t>A栋-B1-20</t>
  </si>
  <si>
    <t>米村</t>
  </si>
  <si>
    <t>A栋-B1-21</t>
  </si>
  <si>
    <t>天府国</t>
  </si>
  <si>
    <t>沟通出图中</t>
  </si>
  <si>
    <t>A栋-B1-22</t>
  </si>
  <si>
    <t>喻记南派</t>
  </si>
  <si>
    <t>A栋-B1-23.25</t>
  </si>
  <si>
    <t>尹三顺</t>
  </si>
  <si>
    <t>已出图待付款</t>
  </si>
  <si>
    <t>6.12</t>
  </si>
  <si>
    <t>已出，门头区域待定，结合效果图看</t>
  </si>
  <si>
    <t>A栋-B1-26</t>
  </si>
  <si>
    <t>福彩</t>
  </si>
  <si>
    <t>A栋-B1-C01</t>
  </si>
  <si>
    <t>欧黎雅动漫</t>
  </si>
  <si>
    <t>A栋-B1-C05</t>
  </si>
  <si>
    <t>小铁</t>
  </si>
  <si>
    <t>乐摩吧</t>
  </si>
  <si>
    <t>汇总</t>
  </si>
  <si>
    <t>总品牌数</t>
  </si>
  <si>
    <t>总面积㎡</t>
  </si>
  <si>
    <t>B1装修管控看板 (动态实时更新)</t>
  </si>
  <si>
    <t xml:space="preserve">核心进度 </t>
  </si>
  <si>
    <t>指标名称</t>
  </si>
  <si>
    <t>当前完成数</t>
  </si>
  <si>
    <t>总数</t>
  </si>
  <si>
    <t>完成百分比</t>
  </si>
  <si>
    <t>招商拉群对接率</t>
  </si>
  <si>
    <t>围挡搭建率</t>
  </si>
  <si>
    <t>平面图出图率</t>
  </si>
  <si>
    <t>效果图出图率</t>
  </si>
  <si>
    <t>施工图有出图率</t>
  </si>
  <si>
    <t>实际进场率</t>
  </si>
  <si>
    <t>三大区域进度透视</t>
  </si>
  <si>
    <t>区域名称</t>
  </si>
  <si>
    <t>拉群对接数</t>
  </si>
  <si>
    <t>总店铺数</t>
  </si>
  <si>
    <t>平面出图数</t>
  </si>
  <si>
    <t>效果出图数</t>
  </si>
  <si>
    <t>施工图出图数</t>
  </si>
  <si>
    <t>超市区域</t>
  </si>
  <si>
    <t>中岛区域</t>
  </si>
  <si>
    <t>边铺区域</t>
  </si>
  <si>
    <t>改造后—超市区域</t>
  </si>
  <si>
    <t>品牌</t>
  </si>
  <si>
    <t>资源号</t>
  </si>
  <si>
    <t>面积</t>
  </si>
  <si>
    <t>保底租金单价</t>
  </si>
  <si>
    <t>物管单价</t>
  </si>
  <si>
    <t>推广费单价</t>
  </si>
  <si>
    <t>全含</t>
  </si>
  <si>
    <t>月总租费，不含抽成</t>
  </si>
  <si>
    <t>月总租费，含抽成</t>
  </si>
  <si>
    <t>年总租费（含税，元）</t>
  </si>
  <si>
    <t>（平方米）</t>
  </si>
  <si>
    <t>（含税，元/平方米/月）</t>
  </si>
  <si>
    <t>扣点</t>
  </si>
  <si>
    <t>取高临界值</t>
  </si>
  <si>
    <t>保守预估</t>
  </si>
  <si>
    <t>保守</t>
  </si>
  <si>
    <t>激进预估</t>
  </si>
  <si>
    <t>激进抽成</t>
  </si>
  <si>
    <t>保底租金</t>
  </si>
  <si>
    <t>物业</t>
  </si>
  <si>
    <t>推广</t>
  </si>
  <si>
    <t>oppo</t>
  </si>
  <si>
    <t>JINS</t>
  </si>
  <si>
    <t>伽百利</t>
  </si>
  <si>
    <t>HIIDOLL</t>
  </si>
  <si>
    <t>UMUYCASE</t>
  </si>
  <si>
    <t>九木杂物社</t>
  </si>
  <si>
    <t>IP潮玩星球</t>
  </si>
  <si>
    <t>合计</t>
  </si>
  <si>
    <t>改造后—中岛区域</t>
  </si>
  <si>
    <t>SKG</t>
  </si>
  <si>
    <t>添可</t>
  </si>
  <si>
    <t>DYSON</t>
  </si>
  <si>
    <t>moody美瞳</t>
  </si>
  <si>
    <t>芷甲</t>
  </si>
  <si>
    <t>结绳记</t>
  </si>
  <si>
    <t>花点时间</t>
  </si>
  <si>
    <t>酥乾隆外摆</t>
  </si>
  <si>
    <t>丹香外摆</t>
  </si>
  <si>
    <t>鸡蛋仔</t>
  </si>
  <si>
    <t>藤田关东煮</t>
  </si>
  <si>
    <t>李磊与韩梅梅</t>
  </si>
  <si>
    <t>蒂娜朵拉</t>
  </si>
  <si>
    <t>糖叙外摆</t>
  </si>
  <si>
    <t>A栋-B1-77</t>
  </si>
  <si>
    <t>泰柯茶园</t>
  </si>
  <si>
    <t>A栋-B1-78</t>
  </si>
  <si>
    <t>改造后-边铺合计</t>
  </si>
  <si>
    <t>销售额预估</t>
  </si>
  <si>
    <t>预估抽成收入</t>
  </si>
  <si>
    <t>合同收铺日期</t>
  </si>
  <si>
    <t>空铺-尹三顺</t>
  </si>
  <si>
    <t>空铺-丹香</t>
  </si>
  <si>
    <t>A栋-B1-10</t>
  </si>
  <si>
    <t>A栋-B1-11a</t>
  </si>
  <si>
    <t>暖溢-酥乾隆</t>
  </si>
  <si>
    <t>空铺-奈雪</t>
  </si>
  <si>
    <t>A栋-B1-12a</t>
  </si>
  <si>
    <t>A栋-B1-12b</t>
  </si>
  <si>
    <t>同方药业-杯子星球</t>
  </si>
  <si>
    <t>洗脸猫-N 1</t>
  </si>
  <si>
    <t>酥乾隆-瑞幸</t>
  </si>
  <si>
    <t>阿水大杯茶-PC+满巍明</t>
  </si>
  <si>
    <t>A栋-B1-18</t>
  </si>
  <si>
    <t>喜样</t>
  </si>
  <si>
    <t>A栋-B1-19</t>
  </si>
  <si>
    <t>蒙自源</t>
  </si>
  <si>
    <t>空铺</t>
  </si>
  <si>
    <t>岛姜家</t>
  </si>
  <si>
    <t>A栋-B1-23</t>
  </si>
  <si>
    <t>嗨特购</t>
  </si>
  <si>
    <t>A栋-B1-25</t>
  </si>
  <si>
    <t>区域</t>
  </si>
  <si>
    <t>现行保底租金单价</t>
  </si>
  <si>
    <t>抽成保守</t>
  </si>
  <si>
    <t>抽成激进</t>
  </si>
  <si>
    <t>固定租金</t>
  </si>
  <si>
    <t>全含保守</t>
  </si>
  <si>
    <t>全含激进</t>
  </si>
  <si>
    <t>改造后—超市区域合计</t>
  </si>
  <si>
    <t>改造后—中岛合计</t>
  </si>
  <si>
    <t>不含超市</t>
  </si>
  <si>
    <t>固租单价（不含抽成）</t>
  </si>
  <si>
    <t>保守抽成</t>
  </si>
  <si>
    <t>租费</t>
  </si>
  <si>
    <t>单价</t>
  </si>
  <si>
    <t>B1（含超市含空铺）</t>
  </si>
  <si>
    <t>B1（不含超市）</t>
  </si>
  <si>
    <t>差异</t>
  </si>
  <si>
    <t>B1（不含超市不含空铺）</t>
  </si>
  <si>
    <t>递增比例</t>
  </si>
  <si>
    <t>B1（含超市）</t>
  </si>
  <si>
    <t>红线确认数量</t>
  </si>
  <si>
    <t>围挡搭建数</t>
  </si>
  <si>
    <t>2026/6/16</t>
  </si>
  <si>
    <t xml:space="preserve">FOU </t>
  </si>
  <si>
    <t>已出图审核中</t>
  </si>
  <si>
    <t>6.2</t>
  </si>
  <si>
    <t>5.28</t>
  </si>
  <si>
    <t>已出</t>
  </si>
  <si>
    <t>已出，审核中</t>
  </si>
  <si>
    <t>6.5</t>
  </si>
  <si>
    <t>6.4</t>
  </si>
</sst>
</file>

<file path=xl/styles.xml><?xml version="1.0" encoding="utf-8"?>
<styleSheet xmlns="http://schemas.openxmlformats.org/spreadsheetml/2006/main">
  <numFmts count="12">
    <numFmt numFmtId="300" formatCode="yyyy\-mm\-dd;@"/>
    <numFmt numFmtId="301" formatCode="0.00_ "/>
    <numFmt numFmtId="302" formatCode="yyyy/m/d;@"/>
    <numFmt numFmtId="303" formatCode="#,##0.00_);[Red]\(#,##0.00\)"/>
    <numFmt numFmtId="304" formatCode="0.00_);[Red]\(0.00\)"/>
    <numFmt numFmtId="305" formatCode="0.0%"/>
    <numFmt numFmtId="306" formatCode="General"/>
    <numFmt numFmtId="307" formatCode="0%"/>
    <numFmt numFmtId="308" formatCode="_ &quot;￥&quot;* #,##0.00_ ;_ &quot;￥&quot;* \-#,##0.00_ ;_ &quot;￥&quot;* &quot;-&quot;??_ ;_ @_ "/>
    <numFmt numFmtId="309" formatCode="_ * #,##0_ ;_ * \-#,##0_ ;_ * &quot;-&quot;_ ;_ @_ "/>
    <numFmt numFmtId="310" formatCode="_ * #,##0.00_ ;_ * \-#,##0.00_ ;_ * &quot;-&quot;??_ ;_ @_ "/>
    <numFmt numFmtId="311" formatCode="_ &quot;￥&quot;* #,##0_ ;_ &quot;￥&quot;* \-#,##0_ ;_ &quot;￥&quot;* &quot;-&quot;_ ;_ @_ "/>
  </numFmts>
  <fonts count="46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b val="1"/>
      <color rgb="FFFFFFFF"/>
      <sz val="11"/>
    </font>
    <font>
      <name val="微软雅黑"/>
      <b val="1"/>
      <color rgb="FFFFFFFF"/>
      <sz val="11"/>
    </font>
    <font>
      <name val="微软雅黑"/>
      <b val="1"/>
      <color rgb="FFFF9C99"/>
      <sz val="11"/>
    </font>
    <font>
      <name val="微软雅黑"/>
      <charset val="134"/>
      <color theme="1"/>
      <sz val="11"/>
    </font>
    <font>
      <name val="Microsoft YaHei"/>
      <charset val="134"/>
      <b val="1"/>
      <sz val="9"/>
    </font>
    <font>
      <name val="微软雅黑"/>
      <color theme="1"/>
      <sz val="11"/>
    </font>
    <font>
      <name val="Microsoft YaHei"/>
      <charset val="134"/>
      <b val="1"/>
      <color rgb="FFFF0000"/>
      <sz val="9"/>
    </font>
    <font>
      <name val="微软雅黑"/>
      <charset val="134"/>
      <color rgb="FFFF0000"/>
      <sz val="11"/>
    </font>
    <font>
      <name val="微软雅黑"/>
      <color rgb="FFFF0000"/>
      <sz val="11"/>
    </font>
    <font>
      <name val="Microsoft YaHei"/>
      <b val="1"/>
      <sz val="9"/>
    </font>
    <font>
      <name val="微软雅黑"/>
      <charset val="134"/>
      <b val="1"/>
      <color rgb="FF000000"/>
      <sz val="24"/>
    </font>
    <font>
      <name val="微软雅黑"/>
      <charset val="134"/>
      <i val="1"/>
      <color rgb="FF000000"/>
      <sz val="11"/>
    </font>
    <font>
      <name val="微软雅黑"/>
      <charset val="134"/>
      <color rgb="FF000000"/>
      <sz val="11"/>
    </font>
    <font>
      <name val="微软雅黑"/>
      <charset val="134"/>
      <b val="1"/>
      <color rgb="FF000000"/>
      <sz val="11"/>
    </font>
    <font>
      <name val="微软雅黑"/>
      <charset val="134"/>
      <b val="1"/>
      <color theme="1"/>
      <sz val="11"/>
    </font>
    <font>
      <name val="微软雅黑"/>
      <color rgb="FF000000"/>
      <sz val="11"/>
    </font>
    <font>
      <name val="微软雅黑"/>
      <b val="1"/>
      <color rgb="FF000000"/>
      <sz val="11"/>
    </font>
    <font>
      <name val="Microsoft YaHei"/>
      <charset val="134"/>
      <b val="1"/>
      <color rgb="FFFFFFFF"/>
      <sz val="9"/>
    </font>
    <font>
      <name val="等线"/>
      <charset val="134"/>
      <sz val="12"/>
    </font>
    <font>
      <name val="宋体"/>
      <charset val="134"/>
      <sz val="12"/>
      <scheme val="minor"/>
    </font>
    <font>
      <name val="Microsoft YaHei"/>
      <charset val="134"/>
      <b val="1"/>
      <color rgb="FF0F1115"/>
      <sz val="9"/>
    </font>
    <font>
      <name val="等线"/>
      <charset val="134"/>
      <color rgb="FFFF0000"/>
      <sz val="12"/>
    </font>
    <font>
      <name val="Microsoft YaHei"/>
      <charset val="134"/>
      <b val="1"/>
      <color rgb="FF000000"/>
      <sz val="9"/>
    </font>
    <font>
      <name val="宋体"/>
      <charset val="134"/>
      <color theme="1"/>
      <sz val="11"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theme="0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EEAD"/>
      </patternFill>
    </fill>
    <fill>
      <patternFill patternType="solid">
        <fgColor rgb="FFFFEEAD"/>
      </patternFill>
    </fill>
    <fill>
      <patternFill patternType="solid">
        <fgColor theme="6" tint="0.8"/>
        <bgColor indexed="64"/>
      </patternFill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FFC9C7"/>
      </patternFill>
    </fill>
    <fill>
      <patternFill patternType="solid">
        <fgColor rgb="FFFFC9C7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6F7FF"/>
        <bgColor indexed="64"/>
      </patternFill>
    </fill>
    <fill>
      <patternFill patternType="solid">
        <fgColor rgb="FFE6F7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AFAFA"/>
        <bgColor indexed="64"/>
      </patternFill>
    </fill>
    <fill/>
    <fill>
      <patternFill patternType="solid">
        <fgColor rgb="FFFCE4D6"/>
        <bgColor indexed="64"/>
      </patternFill>
    </fill>
    <fill>
      <patternFill patternType="solid">
        <fgColor rgb="FF10398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/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</fills>
  <borders count="36">
    <border>
      <left/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diagonal/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/>
    <border>
      <left style="thin">
        <color rgb="FFD9D9D9"/>
      </left>
      <right style="thin">
        <color rgb="FFD9D9D9"/>
      </right>
    </border>
    <border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>
    <xf numFmtId="306" fontId="26" fillId="0" borderId="27" xfId="0">
      <alignment vertical="center"/>
    </xf>
    <xf numFmtId="306" fontId="27" fillId="24" borderId="27" xfId="0">
      <alignment vertical="center"/>
    </xf>
    <xf numFmtId="306" fontId="28" fillId="26" borderId="27" xfId="0">
      <alignment vertical="center"/>
    </xf>
    <xf numFmtId="306" fontId="29" fillId="24" borderId="27" xfId="0">
      <alignment vertical="center"/>
    </xf>
    <xf numFmtId="306" fontId="30" fillId="27" borderId="27" xfId="0">
      <alignment vertical="center"/>
    </xf>
    <xf numFmtId="306" fontId="30" fillId="28" borderId="27" xfId="0">
      <alignment vertical="center"/>
    </xf>
    <xf numFmtId="306" fontId="31" fillId="24" borderId="27" xfId="0">
      <alignment vertical="center"/>
    </xf>
    <xf numFmtId="306" fontId="28" fillId="29" borderId="27" xfId="0">
      <alignment vertical="center"/>
    </xf>
    <xf numFmtId="307" fontId="26" fillId="24" borderId="27" xfId="0">
      <alignment vertical="center"/>
    </xf>
    <xf numFmtId="306" fontId="28" fillId="30" borderId="27" xfId="0">
      <alignment vertical="center"/>
    </xf>
    <xf numFmtId="308" fontId="26" fillId="24" borderId="27" xfId="0">
      <alignment vertical="center"/>
    </xf>
    <xf numFmtId="306" fontId="30" fillId="31" borderId="27" xfId="0">
      <alignment vertical="center"/>
    </xf>
    <xf numFmtId="309" fontId="26" fillId="24" borderId="27" xfId="0">
      <alignment vertical="center"/>
    </xf>
    <xf numFmtId="306" fontId="28" fillId="32" borderId="27" xfId="0">
      <alignment vertical="center"/>
    </xf>
    <xf numFmtId="306" fontId="30" fillId="33" borderId="27" xfId="0">
      <alignment vertical="center"/>
    </xf>
    <xf numFmtId="310" fontId="26" fillId="24" borderId="27" xfId="0">
      <alignment vertical="center"/>
    </xf>
    <xf numFmtId="306" fontId="30" fillId="34" borderId="27" xfId="0">
      <alignment vertical="center"/>
    </xf>
    <xf numFmtId="311" fontId="26" fillId="24" borderId="27" xfId="0">
      <alignment vertical="center"/>
    </xf>
    <xf numFmtId="306" fontId="32" fillId="35" borderId="27" xfId="0">
      <alignment vertical="center"/>
    </xf>
    <xf numFmtId="306" fontId="28" fillId="36" borderId="27" xfId="0">
      <alignment vertical="center"/>
    </xf>
    <xf numFmtId="306" fontId="30" fillId="37" borderId="27" xfId="0">
      <alignment vertical="center"/>
    </xf>
    <xf numFmtId="306" fontId="33" fillId="24" borderId="27" xfId="0">
      <alignment vertical="center"/>
    </xf>
    <xf numFmtId="306" fontId="30" fillId="38" borderId="27" xfId="0">
      <alignment vertical="center"/>
    </xf>
    <xf numFmtId="306" fontId="34" fillId="24" borderId="28" xfId="0">
      <alignment vertical="center"/>
    </xf>
    <xf numFmtId="306" fontId="35" fillId="24" borderId="29" xfId="0">
      <alignment vertical="center"/>
    </xf>
    <xf numFmtId="306" fontId="36" fillId="24" borderId="30" xfId="0">
      <alignment vertical="center"/>
    </xf>
    <xf numFmtId="306" fontId="30" fillId="39" borderId="27" xfId="0">
      <alignment vertical="center"/>
    </xf>
    <xf numFmtId="306" fontId="28" fillId="40" borderId="27" xfId="0">
      <alignment vertical="center"/>
    </xf>
    <xf numFmtId="306" fontId="37" fillId="24" borderId="31" xfId="0">
      <alignment vertical="center"/>
    </xf>
    <xf numFmtId="306" fontId="34" fillId="24" borderId="27" xfId="0">
      <alignment vertical="center"/>
    </xf>
    <xf numFmtId="306" fontId="38" fillId="41" borderId="32" xfId="0">
      <alignment vertical="center"/>
    </xf>
    <xf numFmtId="306" fontId="39" fillId="11" borderId="33" xfId="0">
      <alignment vertical="center"/>
    </xf>
    <xf numFmtId="306" fontId="40" fillId="42" borderId="33" xfId="0">
      <alignment vertical="center"/>
    </xf>
    <xf numFmtId="306" fontId="26" fillId="43" borderId="34" xfId="0">
      <alignment vertical="center"/>
    </xf>
    <xf numFmtId="306" fontId="28" fillId="44" borderId="27" xfId="0">
      <alignment vertical="center"/>
    </xf>
    <xf numFmtId="306" fontId="41" fillId="45" borderId="27" xfId="0">
      <alignment vertical="center"/>
    </xf>
    <xf numFmtId="306" fontId="30" fillId="46" borderId="27" xfId="0">
      <alignment vertical="center"/>
    </xf>
    <xf numFmtId="306" fontId="42" fillId="11" borderId="35" xfId="0">
      <alignment vertical="center"/>
    </xf>
    <xf numFmtId="306" fontId="28" fillId="47" borderId="27" xfId="0">
      <alignment vertical="center"/>
    </xf>
    <xf numFmtId="306" fontId="28" fillId="48" borderId="27" xfId="0">
      <alignment vertical="center"/>
    </xf>
    <xf numFmtId="306" fontId="28" fillId="49" borderId="27" xfId="0">
      <alignment vertical="center"/>
    </xf>
    <xf numFmtId="306" fontId="30" fillId="50" borderId="27" xfId="0">
      <alignment vertical="center"/>
    </xf>
    <xf numFmtId="306" fontId="43" fillId="51" borderId="27" xfId="0">
      <alignment vertical="center"/>
    </xf>
    <xf numFmtId="306" fontId="44" fillId="24" borderId="27" xfId="0">
      <alignment vertical="center"/>
    </xf>
    <xf numFmtId="306" fontId="45" fillId="24" borderId="31" xfId="0">
      <alignment vertical="center"/>
    </xf>
    <xf numFmtId="306" fontId="30" fillId="52" borderId="27" xfId="0">
      <alignment vertical="center"/>
    </xf>
    <xf numFmtId="306" fontId="28" fillId="53" borderId="27" xfId="0">
      <alignment vertical="center"/>
    </xf>
    <xf numFmtId="306" fontId="28" fillId="54" borderId="27" xfId="0">
      <alignment vertical="center"/>
    </xf>
    <xf numFmtId="306" fontId="30" fillId="55" borderId="27" xfId="0">
      <alignment vertical="center"/>
    </xf>
  </cellStyleXfs>
  <cellXfs count="19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49" fontId="3" fillId="2" borderId="27" xfId="0" applyNumberFormat="1" applyFont="1" applyFill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2" xfId="0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3" xfId="0">
      <alignment horizontal="center" vertical="center" wrapText="1"/>
    </xf>
    <xf numFmtId="300" fontId="3" fillId="2" borderId="2" xfId="0" applyNumberFormat="1" applyFont="1" applyFill="1" applyBorder="1" applyAlignment="1">
      <alignment horizontal="center" vertical="center" wrapText="1"/>
    </xf>
    <xf numFmtId="49" fontId="0" fillId="3" borderId="0" xfId="0">
      <alignment horizontal="center" vertical="center" wrapText="1"/>
    </xf>
    <xf numFmtId="306" fontId="6" fillId="3" borderId="4" xfId="0" applyFont="1" applyFill="1" applyBorder="1" applyAlignment="1">
      <alignment horizontal="center" vertical="center" wrapText="1"/>
    </xf>
    <xf fontId="7" fillId="3" borderId="5" xfId="0">
      <alignment horizontal="center" vertical="center" textRotation="0" wrapText="1"/>
    </xf>
    <xf numFmtId="306" fontId="6" fillId="3" borderId="2" xfId="0" applyFont="1" applyFill="1" applyBorder="1" applyAlignment="1">
      <alignment horizontal="center" vertical="center" textRotation="0" wrapText="1"/>
    </xf>
    <xf numFmtId="0" fontId="6" fillId="3" borderId="2" xfId="0" applyNumberFormat="1" applyFont="1" applyFill="1" applyBorder="1" applyAlignment="1">
      <alignment horizontal="center" vertical="center" wrapText="1"/>
    </xf>
    <xf numFmtId="0" fontId="6" fillId="3" borderId="2" xfId="0">
      <alignment horizontal="center" vertical="center" wrapText="1"/>
    </xf>
    <xf numFmtId="306" fontId="6" fillId="3" borderId="2" xfId="0" applyFont="1" applyFill="1" applyBorder="1" applyAlignment="1">
      <alignment horizontal="center" vertical="center" wrapText="1"/>
    </xf>
    <xf numFmtId="306" fontId="8" fillId="3" borderId="3" xfId="0" applyFont="1" applyFill="1" applyBorder="1" applyAlignment="1">
      <alignment horizontal="center" vertical="center" wrapText="1"/>
    </xf>
    <xf numFmtId="49" fontId="8" fillId="4" borderId="3" xfId="0">
      <alignment horizontal="center" vertical="center" wrapText="1"/>
    </xf>
    <xf numFmtId="49" fontId="8" fillId="3" borderId="3" xfId="0">
      <alignment horizontal="center" vertical="center" wrapText="1"/>
    </xf>
    <xf numFmtId="0" fontId="8" fillId="3" borderId="3" xfId="0">
      <alignment horizontal="center" vertical="center" wrapText="1"/>
    </xf>
    <xf numFmtId="49" fontId="26" fillId="5" borderId="27" xfId="0" applyNumberFormat="1" applyFill="1" applyAlignment="1">
      <alignment horizontal="center" vertical="center" wrapText="1"/>
    </xf>
    <xf numFmtId="0" fontId="8" fillId="3" borderId="3" xfId="0" applyNumberFormat="1" applyFont="1" applyFill="1" applyBorder="1" applyAlignment="1">
      <alignment horizontal="center" vertical="center" wrapText="1"/>
    </xf>
    <xf numFmtId="49" fontId="8" fillId="3" borderId="3" xfId="0" applyNumberFormat="1" applyFont="1" applyFill="1" applyBorder="1" applyAlignment="1">
      <alignment horizontal="center" vertical="center" wrapText="1"/>
    </xf>
    <xf fontId="6" fillId="3" borderId="2" xfId="0">
      <alignment horizontal="center" vertical="center" textRotation="0" wrapText="1"/>
    </xf>
    <xf fontId="6" fillId="3" borderId="2" xfId="0">
      <alignment horizontal="center" vertical="center" wrapText="1"/>
    </xf>
    <xf numFmtId="306" fontId="26" fillId="3" borderId="27" xfId="0" applyFill="1">
      <alignment vertical="center"/>
    </xf>
    <xf numFmtId="301" fontId="8" fillId="3" borderId="3" xfId="0">
      <alignment horizontal="center" vertical="center" wrapText="1"/>
    </xf>
    <xf numFmtId="306" fontId="6" fillId="6" borderId="6" xfId="0" applyFont="1" applyFill="1" applyBorder="1" applyAlignment="1">
      <alignment horizontal="center" vertical="center" wrapText="1"/>
    </xf>
    <xf numFmtId="306" fontId="6" fillId="6" borderId="2" xfId="0" applyFont="1" applyFill="1" applyBorder="1" applyAlignment="1">
      <alignment horizontal="center" vertical="center" textRotation="0" wrapText="1"/>
    </xf>
    <xf numFmtId="62" fontId="9" fillId="6" borderId="5" xfId="0">
      <alignment horizontal="center" vertical="center" textRotation="0" wrapText="1"/>
    </xf>
    <xf numFmtId="306" fontId="6" fillId="6" borderId="2" xfId="0" applyFont="1" applyFill="1" applyBorder="1" applyAlignment="1">
      <alignment horizontal="center" vertical="center" wrapText="1"/>
    </xf>
    <xf fontId="8" fillId="7" borderId="3" xfId="0">
      <alignment horizontal="center" vertical="center" wrapText="1"/>
    </xf>
    <xf fontId="6" fillId="7" borderId="2" xfId="0">
      <alignment horizontal="center" vertical="center" wrapText="1"/>
    </xf>
    <xf numFmtId="49" fontId="8" fillId="7" borderId="3" xfId="0">
      <alignment horizontal="center" vertical="center" wrapText="1"/>
    </xf>
    <xf numFmtId="49" fontId="8" fillId="6" borderId="3" xfId="0" applyNumberFormat="1" applyFont="1" applyFill="1" applyBorder="1" applyAlignment="1">
      <alignment horizontal="center" vertical="center" wrapText="1"/>
    </xf>
    <xf numFmtId="306" fontId="8" fillId="6" borderId="3" xfId="0" applyFont="1" applyFill="1" applyBorder="1" applyAlignment="1">
      <alignment horizontal="center" vertical="center" wrapText="1"/>
    </xf>
    <xf fontId="0" fillId="0" borderId="7" xfId="0">
      <alignment vertical="center"/>
    </xf>
    <xf numFmtId="62" fontId="7" fillId="6" borderId="5" xfId="0">
      <alignment horizontal="center" vertical="center" textRotation="0" wrapText="1"/>
    </xf>
    <xf numFmtId="0" fontId="10" fillId="7" borderId="2" xfId="0">
      <alignment horizontal="center" vertical="center" wrapText="1"/>
    </xf>
    <xf numFmtId="0" fontId="6" fillId="6" borderId="2" xfId="0" applyNumberFormat="1" applyFont="1" applyFill="1" applyBorder="1" applyAlignment="1">
      <alignment horizontal="center" vertical="center" wrapText="1"/>
    </xf>
    <xf numFmtId="0" fontId="8" fillId="6" borderId="3" xfId="0" applyNumberFormat="1" applyFont="1" applyFill="1" applyBorder="1" applyAlignment="1">
      <alignment horizontal="center" vertical="center" wrapText="1"/>
    </xf>
    <xf numFmtId="0" fontId="11" fillId="6" borderId="3" xfId="0">
      <alignment horizontal="center" vertical="center" wrapText="1"/>
    </xf>
    <xf numFmtId="49" fontId="8" fillId="6" borderId="3" xfId="0">
      <alignment horizontal="center" vertical="center" wrapText="1"/>
    </xf>
    <xf fontId="6" fillId="6" borderId="2" xfId="0">
      <alignment horizontal="center" vertical="center" wrapText="1"/>
    </xf>
    <xf numFmtId="0" fontId="8" fillId="6" borderId="3" xfId="0">
      <alignment horizontal="center" vertical="center" wrapText="1"/>
    </xf>
    <xf fontId="7" fillId="6" borderId="5" xfId="0">
      <alignment horizontal="center" vertical="center" textRotation="0"/>
    </xf>
    <xf numFmtId="0" fontId="10" fillId="6" borderId="2" xfId="0">
      <alignment horizontal="center" vertical="center" wrapText="1"/>
    </xf>
    <xf numFmtId="0" fontId="10" fillId="6" borderId="2" xfId="0" applyNumberFormat="1" applyFont="1" applyFill="1" applyBorder="1" applyAlignment="1">
      <alignment horizontal="center" vertical="center" wrapText="1"/>
    </xf>
    <xf numFmtId="301" fontId="8" fillId="6" borderId="3" xfId="0" applyNumberFormat="1" applyFont="1" applyFill="1" applyBorder="1" applyAlignment="1">
      <alignment horizontal="center" vertical="center" wrapText="1"/>
    </xf>
    <xf numFmtId="0" fontId="6" fillId="6" borderId="2" xfId="0">
      <alignment horizontal="center" vertical="center" wrapText="1"/>
    </xf>
    <xf fontId="0" fillId="0" borderId="8" xfId="0">
      <alignment vertical="center"/>
    </xf>
    <xf numFmtId="306" fontId="8" fillId="6" borderId="3" xfId="0" applyFont="1" applyFill="1" applyBorder="1" applyAlignment="1">
      <alignment horizontal="center" vertical="center" textRotation="0" wrapText="1"/>
    </xf>
    <xf numFmtId="62" fontId="12" fillId="6" borderId="9" xfId="0">
      <alignment horizontal="center" vertical="center" textRotation="0" wrapText="1"/>
    </xf>
    <xf numFmtId="306" fontId="6" fillId="8" borderId="10" xfId="0" applyFont="1" applyFill="1" applyBorder="1" applyAlignment="1">
      <alignment horizontal="center" vertical="center" wrapText="1"/>
    </xf>
    <xf numFmtId="306" fontId="6" fillId="8" borderId="2" xfId="0" applyFont="1" applyFill="1" applyBorder="1" applyAlignment="1">
      <alignment horizontal="center" vertical="center" textRotation="0" wrapText="1" indent="0" justifyLastLine="0" shrinkToFit="0"/>
    </xf>
    <xf fontId="7" fillId="8" borderId="5" xfId="0">
      <alignment horizontal="center" vertical="center" textRotation="0"/>
    </xf>
    <xf numFmtId="306" fontId="6" fillId="8" borderId="2" xfId="0" applyFont="1" applyFill="1" applyBorder="1" applyAlignment="1">
      <alignment horizontal="center" vertical="center" textRotation="0" wrapText="1"/>
    </xf>
    <xf numFmtId="306" fontId="6" fillId="8" borderId="2" xfId="0" applyFont="1" applyFill="1" applyBorder="1" applyAlignment="1">
      <alignment horizontal="center" vertical="center" wrapText="1"/>
    </xf>
    <xf numFmtId="306" fontId="8" fillId="8" borderId="3" xfId="0" applyFont="1" applyFill="1" applyBorder="1" applyAlignment="1">
      <alignment horizontal="center" vertical="center" wrapText="1"/>
    </xf>
    <xf numFmtId="49" fontId="8" fillId="9" borderId="3" xfId="0">
      <alignment horizontal="center" vertical="center" wrapText="1"/>
    </xf>
    <xf numFmtId="49" fontId="8" fillId="8" borderId="3" xfId="0" applyNumberFormat="1" applyFont="1" applyFill="1" applyBorder="1" applyAlignment="1">
      <alignment horizontal="center" vertical="center" wrapText="1"/>
    </xf>
    <xf numFmtId="306" fontId="6" fillId="10" borderId="11" xfId="0" applyFont="1" applyFill="1" applyBorder="1" applyAlignment="1">
      <alignment horizontal="center" vertical="center" wrapText="1"/>
    </xf>
    <xf numFmtId="0" fontId="6" fillId="8" borderId="2" xfId="0">
      <alignment horizontal="center" vertical="center" wrapText="1"/>
    </xf>
    <xf numFmtId="0" fontId="6" fillId="8" borderId="2" xfId="0" applyNumberFormat="1" applyFont="1" applyFill="1" applyBorder="1" applyAlignment="1">
      <alignment horizontal="center" vertical="center" wrapText="1"/>
    </xf>
    <xf numFmtId="0" fontId="8" fillId="8" borderId="3" xfId="0" applyNumberFormat="1" applyFont="1" applyFill="1" applyBorder="1" applyAlignment="1">
      <alignment horizontal="center" vertical="center" wrapText="1"/>
    </xf>
    <xf numFmtId="301" fontId="8" fillId="8" borderId="3" xfId="0">
      <alignment horizontal="center" vertical="center" wrapText="1"/>
    </xf>
    <xf numFmtId="301" fontId="8" fillId="8" borderId="3" xfId="0" applyNumberFormat="1" applyFont="1" applyFill="1" applyBorder="1" applyAlignment="1">
      <alignment horizontal="center" vertical="center" wrapText="1"/>
    </xf>
    <xf numFmtId="302" fontId="8" fillId="8" borderId="3" xfId="0">
      <alignment horizontal="center" vertical="center" wrapText="1"/>
    </xf>
    <xf numFmtId="302" fontId="6" fillId="8" borderId="2" xfId="0">
      <alignment horizontal="center" vertical="center" wrapText="1"/>
    </xf>
    <xf numFmtId="49" fontId="8" fillId="8" borderId="3" xfId="0">
      <alignment horizontal="center" vertical="center" wrapText="1"/>
    </xf>
    <xf numFmtId="0" fontId="8" fillId="8" borderId="3" xfId="0">
      <alignment horizontal="center" vertical="center" wrapText="1"/>
    </xf>
    <xf numFmtId="0" fontId="0" fillId="8" borderId="12" xfId="0">
      <alignment vertical="center"/>
    </xf>
    <xf numFmtId="0" fontId="10" fillId="8" borderId="2" xfId="0" applyNumberFormat="1" applyFont="1" applyFill="1" applyBorder="1" applyAlignment="1">
      <alignment horizontal="center" vertical="center" wrapText="1"/>
    </xf>
    <xf fontId="6" fillId="9" borderId="2" xfId="0">
      <alignment horizontal="center" vertical="center" wrapText="1"/>
    </xf>
    <xf numFmtId="0" fontId="6" fillId="8" borderId="2" xfId="0" applyNumberFormat="1" applyFont="1" applyFill="1" applyBorder="1" applyAlignment="1">
      <alignment horizontal="center" vertical="center" textRotation="0" wrapText="1" indent="0" justifyLastLine="0" shrinkToFit="0"/>
    </xf>
    <xf fontId="6" fillId="8" borderId="2" xfId="0">
      <alignment horizontal="center" vertical="center" wrapText="1"/>
    </xf>
    <xf numFmtId="306" fontId="8" fillId="10" borderId="13" xfId="0" applyFont="1" applyFill="1" applyBorder="1" applyAlignment="1">
      <alignment horizontal="center" vertical="center" wrapText="1"/>
    </xf>
    <xf numFmtId="0" fontId="8" fillId="8" borderId="3" xfId="0">
      <alignment horizontal="center" vertical="center" textRotation="0" wrapText="1" indent="0" justifyLastLine="0" shrinkToFit="0"/>
    </xf>
    <xf fontId="12" fillId="8" borderId="9" xfId="0">
      <alignment horizontal="center" vertical="center" textRotation="0"/>
    </xf>
    <xf numFmtId="0" fontId="8" fillId="8" borderId="3" xfId="0" applyNumberFormat="1" applyFont="1" applyFill="1" applyBorder="1" applyAlignment="1">
      <alignment horizontal="center" vertical="center" textRotation="0" wrapText="1"/>
    </xf>
    <xf numFmtId="0" fontId="6" fillId="8" borderId="2" xfId="0" applyNumberFormat="1" applyFont="1" applyFill="1" applyBorder="1" applyAlignment="1">
      <alignment horizontal="center" vertical="center" textRotation="0" wrapText="1"/>
    </xf>
    <xf fontId="7" fillId="8" borderId="14" xfId="0">
      <alignment horizontal="center" vertical="center" textRotation="0"/>
    </xf>
    <xf numFmtId="302" fontId="8" fillId="8" borderId="3" xfId="0" applyNumberFormat="1" applyFont="1" applyFill="1" applyBorder="1" applyAlignment="1">
      <alignment horizontal="center" vertical="center" wrapText="1"/>
    </xf>
    <xf numFmtId="302" fontId="6" fillId="8" borderId="2" xfId="0" applyNumberFormat="1" applyFont="1" applyFill="1" applyBorder="1" applyAlignment="1">
      <alignment horizontal="center" vertical="center" wrapText="1"/>
    </xf>
    <xf fontId="12" fillId="8" borderId="9" xfId="0">
      <alignment horizontal="center" vertical="center" textRotation="0" indent="0" justifyLastLine="0" shrinkToFit="0"/>
    </xf>
    <xf fontId="7" fillId="8" borderId="5" xfId="0">
      <alignment horizontal="center" vertical="center" textRotation="0" indent="0" justifyLastLine="0" shrinkToFit="0"/>
    </xf>
    <xf numFmtId="306" fontId="6" fillId="10" borderId="4" xfId="0" applyFont="1" applyFill="1" applyBorder="1" applyAlignment="1">
      <alignment horizontal="center" vertical="center" wrapText="1"/>
    </xf>
    <xf numFmtId="306" fontId="6" fillId="0" borderId="27" xfId="0" applyFont="1" applyAlignment="1">
      <alignment vertical="bottom"/>
    </xf>
    <xf numFmtId="306" fontId="8" fillId="0" borderId="27" xfId="0" applyFont="1" applyAlignment="1">
      <alignment vertical="bottom"/>
    </xf>
    <xf numFmtId="306" fontId="6" fillId="0" borderId="27" xfId="0" applyFont="1">
      <alignment vertical="center"/>
    </xf>
    <xf numFmtId="306" fontId="3" fillId="2" borderId="2" xfId="0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306" fontId="13" fillId="0" borderId="27" xfId="0" applyFont="1">
      <alignment vertical="center"/>
    </xf>
    <xf numFmtId="306" fontId="14" fillId="0" borderId="27" xfId="0" applyFont="1">
      <alignment vertical="center"/>
    </xf>
    <xf numFmtId="0" fontId="15" fillId="11" borderId="15" xfId="0" applyNumberFormat="1" applyFont="1" applyFill="1" applyBorder="1" applyAlignment="1">
      <alignment horizontal="center" vertical="center" wrapText="1"/>
    </xf>
    <xf numFmtId="306" fontId="15" fillId="11" borderId="15" xfId="0" applyFont="1" applyFill="1" applyBorder="1" applyAlignment="1">
      <alignment horizontal="center" vertical="center" wrapText="1"/>
    </xf>
    <xf numFmtId="306" fontId="16" fillId="0" borderId="15" xfId="0" applyFont="1" applyBorder="1" applyAlignment="1">
      <alignment horizontal="center" vertical="center" wrapText="1"/>
    </xf>
    <xf numFmtId="306" fontId="17" fillId="0" borderId="27" xfId="0" applyFont="1" applyAlignment="1">
      <alignment horizontal="center"/>
    </xf>
    <xf numFmtId="306" fontId="15" fillId="0" borderId="15" xfId="0" applyFont="1" applyBorder="1" applyAlignment="1">
      <alignment horizontal="center" vertical="center" wrapText="1"/>
    </xf>
    <xf numFmtId="10" fontId="15" fillId="0" borderId="15" xfId="0" applyNumberFormat="1" applyFont="1" applyBorder="1" applyAlignment="1">
      <alignment horizontal="center" vertical="center" wrapText="1"/>
    </xf>
    <xf numFmtId="0" fontId="18" fillId="0" borderId="16" xfId="0" applyNumberFormat="1" applyFont="1" applyBorder="1" applyAlignment="1">
      <alignment horizontal="center" vertical="center" wrapText="1"/>
    </xf>
    <xf numFmtId="306" fontId="18" fillId="0" borderId="16" xfId="0" applyFont="1" applyBorder="1" applyAlignment="1">
      <alignment horizontal="center" vertical="center" wrapText="1"/>
    </xf>
    <xf numFmtId="10" fontId="18" fillId="0" borderId="16" xfId="0" applyNumberFormat="1" applyFont="1" applyBorder="1" applyAlignment="1">
      <alignment horizontal="center" vertical="center" wrapText="1"/>
    </xf>
    <xf numFmtId="306" fontId="8" fillId="0" borderId="27" xfId="0" applyFont="1">
      <alignment vertical="center"/>
    </xf>
    <xf numFmtId="0" fontId="15" fillId="0" borderId="15" xfId="0" applyNumberFormat="1" applyFont="1" applyBorder="1" applyAlignment="1">
      <alignment horizontal="center" vertical="center" wrapText="1"/>
    </xf>
    <xf numFmtId="306" fontId="18" fillId="12" borderId="16" xfId="0" applyFont="1" applyFill="1" applyBorder="1" applyAlignment="1">
      <alignment horizontal="center" vertical="center" wrapText="1"/>
    </xf>
    <xf numFmtId="0" fontId="18" fillId="12" borderId="16" xfId="0" applyNumberFormat="1" applyFont="1" applyFill="1" applyBorder="1" applyAlignment="1">
      <alignment horizontal="center" vertical="center" wrapText="1"/>
    </xf>
    <xf numFmtId="306" fontId="18" fillId="13" borderId="16" xfId="0" applyFont="1" applyFill="1" applyBorder="1" applyAlignment="1">
      <alignment horizontal="center" vertical="center" wrapText="1"/>
    </xf>
    <xf numFmtId="306" fontId="18" fillId="13" borderId="27" xfId="0" applyFont="1" applyFill="1" applyAlignment="1">
      <alignment horizontal="center" vertical="center" wrapText="1"/>
    </xf>
    <xf numFmtId="306" fontId="19" fillId="14" borderId="16" xfId="0" applyFont="1" applyFill="1" applyBorder="1" applyAlignment="1">
      <alignment horizontal="center" vertical="center" wrapText="1"/>
    </xf>
    <xf numFmtId="0" fontId="19" fillId="14" borderId="16" xfId="0" applyNumberFormat="1" applyFont="1" applyFill="1" applyBorder="1" applyAlignment="1">
      <alignment horizontal="center" vertical="center" wrapText="1"/>
    </xf>
    <xf numFmtId="0" fontId="19" fillId="14" borderId="16" xfId="0">
      <alignment horizontal="center" vertical="center" wrapText="1"/>
    </xf>
    <xf numFmtId="0" fontId="19" fillId="15" borderId="16" xfId="0">
      <alignment horizontal="center" vertical="center" wrapText="1"/>
    </xf>
    <xf numFmtId="306" fontId="19" fillId="14" borderId="17" xfId="0" applyFont="1" applyFill="1" applyBorder="1" applyAlignment="1">
      <alignment horizontal="center" vertical="center" wrapText="1"/>
    </xf>
    <xf numFmtId="306" fontId="18" fillId="16" borderId="16" xfId="0" applyFont="1" applyFill="1" applyBorder="1" applyAlignment="1">
      <alignment horizontal="center" vertical="center" wrapText="1"/>
    </xf>
    <xf numFmtId="306" fontId="18" fillId="16" borderId="16" xfId="0" applyFont="1" applyFill="1" applyBorder="1" applyAlignment="1">
      <alignment horizontal="center" vertical="center" wrapText="1"/>
    </xf>
    <xf numFmtId="68" fontId="18" fillId="16" borderId="17" xfId="0" applyNumberFormat="1" applyFont="1" applyFill="1" applyBorder="1" applyAlignment="1">
      <alignment horizontal="center" vertical="center" wrapText="1"/>
    </xf>
    <xf numFmtId="306" fontId="8" fillId="17" borderId="3" xfId="0" applyFont="1" applyFill="1" applyBorder="1" applyAlignment="1">
      <alignment horizontal="center" vertical="center" wrapText="1"/>
    </xf>
    <xf numFmtId="306" fontId="20" fillId="18" borderId="15" xfId="0" applyFont="1" applyFill="1" applyBorder="1" applyAlignment="1">
      <alignment horizontal="center" vertical="center"/>
    </xf>
    <xf numFmtId="306" fontId="26" fillId="0" borderId="18" xfId="0" applyBorder="1" applyAlignment="1">
      <alignment vertical="bottom"/>
    </xf>
    <xf numFmtId="306" fontId="26" fillId="0" borderId="19" xfId="0" applyBorder="1" applyAlignment="1">
      <alignment vertical="bottom"/>
    </xf>
    <xf numFmtId="306" fontId="7" fillId="0" borderId="15" xfId="0" applyFont="1" applyBorder="1">
      <alignment vertical="center"/>
    </xf>
    <xf numFmtId="306" fontId="7" fillId="0" borderId="27" xfId="0" applyFont="1">
      <alignment vertical="center"/>
    </xf>
    <xf numFmtId="306" fontId="26" fillId="0" borderId="20" xfId="0" applyBorder="1" applyAlignment="1">
      <alignment vertical="bottom"/>
    </xf>
    <xf numFmtId="306" fontId="7" fillId="19" borderId="15" xfId="0" applyFont="1" applyFill="1" applyBorder="1" applyAlignment="1">
      <alignment horizontal="center" vertical="center" wrapText="1"/>
    </xf>
    <xf numFmtId="303" fontId="21" fillId="19" borderId="15" xfId="0" applyNumberFormat="1" applyFont="1" applyFill="1" applyBorder="1" applyAlignment="1">
      <alignment horizontal="center" vertical="center" wrapText="1"/>
    </xf>
    <xf numFmtId="306" fontId="7" fillId="0" borderId="15" xfId="0" applyFont="1" applyBorder="1" applyAlignment="1">
      <alignment horizontal="center" vertical="center"/>
    </xf>
    <xf numFmtId="10" fontId="7" fillId="0" borderId="15" xfId="0" applyNumberFormat="1" applyFont="1" applyBorder="1" applyAlignment="1">
      <alignment horizontal="center" vertical="center" wrapText="1"/>
    </xf>
    <xf numFmtId="304" fontId="7" fillId="0" borderId="15" xfId="0" applyNumberFormat="1" applyFont="1" applyBorder="1" applyAlignment="1">
      <alignment horizontal="center" vertical="center"/>
    </xf>
    <xf numFmtId="303" fontId="7" fillId="20" borderId="15" xfId="0" applyNumberFormat="1" applyFont="1" applyFill="1" applyBorder="1" applyAlignment="1">
      <alignment horizontal="center" vertical="center"/>
    </xf>
    <xf numFmtId="4" fontId="7" fillId="0" borderId="15" xfId="0" applyNumberFormat="1" applyFont="1" applyBorder="1" applyAlignment="1">
      <alignment horizontal="center" vertical="center"/>
    </xf>
    <xf numFmtId="303" fontId="22" fillId="19" borderId="15" xfId="0" applyNumberFormat="1" applyFont="1" applyFill="1" applyBorder="1" applyAlignment="1">
      <alignment horizontal="center" vertical="center" wrapText="1"/>
    </xf>
    <xf numFmtId="306" fontId="9" fillId="0" borderId="15" xfId="0" applyFont="1" applyBorder="1" applyAlignment="1">
      <alignment horizontal="center" vertical="center"/>
    </xf>
    <xf numFmtId="4" fontId="9" fillId="0" borderId="15" xfId="0" applyNumberFormat="1" applyFont="1" applyBorder="1" applyAlignment="1">
      <alignment horizontal="center" vertical="center"/>
    </xf>
    <xf numFmtId="10" fontId="9" fillId="0" borderId="15" xfId="0" applyNumberFormat="1" applyFont="1" applyBorder="1" applyAlignment="1">
      <alignment horizontal="center" vertical="center"/>
    </xf>
    <xf numFmtId="306" fontId="23" fillId="21" borderId="15" xfId="0" applyFont="1" applyFill="1" applyBorder="1" applyAlignment="1">
      <alignment horizontal="center" vertical="center"/>
    </xf>
    <xf numFmtId="4" fontId="7" fillId="0" borderId="27" xfId="0" applyNumberFormat="1" applyFont="1" applyAlignment="1">
      <alignment horizontal="center" vertical="center"/>
    </xf>
    <xf numFmtId="306" fontId="20" fillId="18" borderId="27" xfId="0" applyFont="1" applyFill="1" applyAlignment="1">
      <alignment horizontal="center" vertical="center"/>
    </xf>
    <xf numFmtId="306" fontId="20" fillId="18" borderId="27" xfId="0" applyFont="1" applyFill="1">
      <alignment vertical="center"/>
    </xf>
    <xf numFmtId="306" fontId="7" fillId="0" borderId="27" xfId="0" applyFont="1" applyAlignment="1">
      <alignment horizontal="center" vertical="center" wrapText="1"/>
    </xf>
    <xf numFmtId="306" fontId="9" fillId="0" borderId="27" xfId="0" applyFont="1" applyAlignment="1">
      <alignment horizontal="center" vertical="center" wrapText="1"/>
    </xf>
    <xf numFmtId="4" fontId="21" fillId="19" borderId="15" xfId="0" applyNumberFormat="1" applyFont="1" applyFill="1" applyBorder="1" applyAlignment="1">
      <alignment horizontal="center" vertical="center" wrapText="1"/>
    </xf>
    <xf numFmtId="306" fontId="7" fillId="0" borderId="27" xfId="0" applyFont="1" applyAlignment="1">
      <alignment horizontal="center" vertical="center"/>
    </xf>
    <xf numFmtId="10" fontId="7" fillId="0" borderId="27" xfId="0" applyNumberFormat="1" applyFont="1" applyAlignment="1">
      <alignment horizontal="center" vertical="center" wrapText="1"/>
    </xf>
    <xf numFmtId="304" fontId="7" fillId="0" borderId="27" xfId="0" applyNumberFormat="1" applyFont="1" applyAlignment="1">
      <alignment horizontal="center" vertical="center"/>
    </xf>
    <xf numFmtId="303" fontId="7" fillId="20" borderId="27" xfId="0" applyNumberFormat="1" applyFont="1" applyFill="1" applyAlignment="1">
      <alignment horizontal="center" vertical="center"/>
    </xf>
    <xf numFmtId="306" fontId="7" fillId="22" borderId="27" xfId="0" applyFont="1" applyFill="1" applyAlignment="1">
      <alignment horizontal="center" vertical="center" wrapText="1"/>
    </xf>
    <xf numFmtId="4" fontId="24" fillId="19" borderId="15" xfId="0" applyNumberFormat="1" applyFont="1" applyFill="1" applyBorder="1" applyAlignment="1">
      <alignment horizontal="center" vertical="center" wrapText="1"/>
    </xf>
    <xf numFmtId="305" fontId="7" fillId="0" borderId="27" xfId="0" applyNumberFormat="1" applyFont="1" applyAlignment="1">
      <alignment horizontal="center" vertical="center"/>
    </xf>
    <xf numFmtId="303" fontId="9" fillId="20" borderId="27" xfId="0" applyNumberFormat="1" applyFont="1" applyFill="1" applyAlignment="1">
      <alignment horizontal="center" vertical="center"/>
    </xf>
    <xf numFmtId="306" fontId="9" fillId="0" borderId="27" xfId="0" applyFont="1" applyAlignment="1">
      <alignment horizontal="center" vertical="center"/>
    </xf>
    <xf numFmtId="4" fontId="9" fillId="0" borderId="27" xfId="0" applyNumberFormat="1" applyFont="1" applyAlignment="1">
      <alignment horizontal="center" vertical="center"/>
    </xf>
    <xf numFmtId="306" fontId="23" fillId="21" borderId="27" xfId="0" applyFont="1" applyFill="1" applyAlignment="1">
      <alignment horizontal="center" vertical="center"/>
    </xf>
    <xf numFmtId="306" fontId="7" fillId="21" borderId="27" xfId="0" applyFont="1" applyFill="1" applyAlignment="1">
      <alignment horizontal="center" vertical="center"/>
    </xf>
    <xf numFmtId="10" fontId="7" fillId="0" borderId="27" xfId="0" applyNumberFormat="1" applyFont="1" applyAlignment="1">
      <alignment horizontal="center" vertical="center"/>
    </xf>
    <xf numFmtId="303" fontId="7" fillId="0" borderId="27" xfId="0" applyNumberFormat="1" applyFont="1" applyAlignment="1">
      <alignment horizontal="center" vertical="center"/>
    </xf>
    <xf numFmtId="302" fontId="7" fillId="0" borderId="27" xfId="0" applyNumberFormat="1" applyFont="1" applyAlignment="1">
      <alignment horizontal="left" vertical="center"/>
    </xf>
    <xf numFmtId="306" fontId="25" fillId="21" borderId="27" xfId="0" applyFont="1" applyFill="1" applyAlignment="1">
      <alignment horizontal="center" vertical="center" wrapText="1"/>
    </xf>
    <xf numFmtId="4" fontId="9" fillId="23" borderId="27" xfId="0" applyNumberFormat="1" applyFont="1" applyFill="1" applyAlignment="1">
      <alignment horizontal="center" vertical="center"/>
    </xf>
    <xf numFmtId="4" fontId="9" fillId="20" borderId="27" xfId="0" applyNumberFormat="1" applyFont="1" applyFill="1" applyAlignment="1">
      <alignment horizontal="center" vertical="center"/>
    </xf>
    <xf numFmtId="4" fontId="7" fillId="0" borderId="27" xfId="0" applyNumberFormat="1" applyFont="1">
      <alignment vertical="center"/>
    </xf>
    <xf numFmtId="306" fontId="9" fillId="0" borderId="27" xfId="0" applyFont="1" applyAlignment="1">
      <alignment horizontal="center"/>
    </xf>
    <xf numFmtId="306" fontId="25" fillId="0" borderId="27" xfId="0" applyFont="1" applyAlignment="1">
      <alignment horizontal="center" vertical="center"/>
    </xf>
    <xf numFmtId="306" fontId="7" fillId="19" borderId="27" xfId="0" applyFont="1" applyFill="1">
      <alignment vertical="center"/>
    </xf>
    <xf numFmtId="4" fontId="25" fillId="0" borderId="27" xfId="0" applyNumberFormat="1" applyFont="1" applyAlignment="1">
      <alignment horizontal="center" vertical="center"/>
    </xf>
    <xf numFmtId="4" fontId="7" fillId="19" borderId="27" xfId="0" applyNumberFormat="1" applyFont="1" applyFill="1">
      <alignment vertical="center"/>
    </xf>
    <xf numFmtId="10" fontId="25" fillId="0" borderId="27" xfId="0" applyNumberFormat="1" applyFont="1" applyAlignment="1">
      <alignment horizontal="center" vertical="center"/>
    </xf>
    <xf numFmtId="306" fontId="19" fillId="15" borderId="16" xfId="0" applyFont="1" applyFill="1" applyBorder="1" applyAlignment="1">
      <alignment horizontal="center" vertical="center" wrapText="1"/>
    </xf>
    <xf numFmtId="0" fontId="0" fillId="24" borderId="21" xfId="0">
      <alignment vertical="center"/>
    </xf>
    <xf numFmtId="0" fontId="0" fillId="24" borderId="22" xfId="0">
      <alignment vertical="center"/>
    </xf>
    <xf numFmtId="0" fontId="0" fillId="24" borderId="23" xfId="0">
      <alignment vertical="center"/>
    </xf>
    <xf numFmtId="0" fontId="19" fillId="14" borderId="17" xfId="0" applyNumberFormat="1" applyFont="1" applyFill="1" applyBorder="1" applyAlignment="1">
      <alignment horizontal="center" vertical="center" wrapText="1"/>
    </xf>
    <xf numFmtId="306" fontId="18" fillId="16" borderId="17" xfId="0" applyFont="1" applyFill="1" applyBorder="1" applyAlignment="1">
      <alignment horizontal="center" vertical="center" wrapText="1"/>
    </xf>
    <xf numFmtId="0" fontId="19" fillId="14" borderId="24" xfId="0">
      <alignment horizontal="center" vertical="center" wrapText="1"/>
    </xf>
    <xf numFmtId="306" fontId="18" fillId="16" borderId="24" xfId="0" applyFont="1" applyFill="1" applyBorder="1" applyAlignment="1">
      <alignment horizontal="center" vertical="center" wrapText="1"/>
    </xf>
    <xf numFmtId="0" fontId="0" fillId="24" borderId="16" xfId="0">
      <alignment vertical="center"/>
    </xf>
    <xf numFmtId="0" fontId="19" fillId="14" borderId="25" xfId="0">
      <alignment horizontal="center" vertical="center" wrapText="1"/>
    </xf>
    <xf fontId="18" fillId="16" borderId="25" xfId="0">
      <alignment horizontal="center" vertical="center" wrapText="1"/>
    </xf>
    <xf numFmtId="0" fontId="19" fillId="15" borderId="17" xfId="0">
      <alignment horizontal="center" vertical="center" wrapText="1"/>
    </xf>
    <xf fontId="18" fillId="25" borderId="17" xfId="0">
      <alignment horizontal="center" vertical="center" wrapText="1"/>
    </xf>
    <xf fontId="18" fillId="16" borderId="16" xfId="0">
      <alignment horizontal="center" vertical="center" wrapText="1"/>
    </xf>
    <xf numFmtId="0" fontId="19" fillId="14" borderId="26" xfId="0">
      <alignment horizontal="center" vertical="center" wrapText="1"/>
    </xf>
    <xf fontId="18" fillId="12" borderId="16" xfId="0">
      <alignment horizontal="center" vertical="center" wrapText="1"/>
    </xf>
    <xf numFmtId="0" fontId="19" fillId="15" borderId="26" xfId="0">
      <alignment horizontal="center" vertical="center" wrapText="1"/>
    </xf>
    <xf fontId="18" fillId="25" borderId="25" xfId="0">
      <alignment horizontal="center" vertical="center" wrapText="1"/>
    </xf>
    <xf numFmtId="0" fontId="15" fillId="7" borderId="2" xfId="0">
      <alignment horizontal="center" vertical="center" wrapText="1"/>
    </xf>
    <xf numFmtId="0" fontId="18" fillId="7" borderId="3" xfId="0">
      <alignment horizontal="center" vertical="center" wrapText="1"/>
    </xf>
    <xf numFmtId="0" fontId="15" fillId="6" borderId="2" xfId="0">
      <alignment horizontal="center" vertical="center" wrapText="1"/>
    </xf>
    <xf fontId="25" fillId="3" borderId="5" xfId="0">
      <alignment horizontal="center" vertical="center" textRotation="0" wrapText="1"/>
    </xf>
    <xf fontId="9" fillId="3" borderId="5" xfId="0">
      <alignment horizontal="center" vertical="center" textRotation="0" wrapText="1"/>
    </xf>
    <xf numFmtId="0" fontId="8" fillId="4" borderId="3" xfId="0">
      <alignment horizontal="center" vertical="center" wrapText="1"/>
    </xf>
    <xf fontId="6" fillId="4" borderId="2" xfId="0">
      <alignment horizontal="center" vertical="center" wrapText="1"/>
    </xf>
    <xf numFmtId="306" fontId="26" fillId="24" borderId="27" xfId="0" applyNumberFormat="1" applyFill="1" applyBorder="1">
      <alignment vertical="center"/>
    </xf>
    <xf numFmtId="306" fontId="26" fillId="24" borderId="12" xfId="0" applyNumberFormat="1" applyFill="1" applyBorder="1">
      <alignment vertical="center"/>
    </xf>
  </cellXfs>
  <cellStyles>
    <cellStyle name="常规" xfId="0" builtinId="0"/>
    <cellStyle name="已访问的超链接" xfId="1" builtinId="9"/>
    <cellStyle name="20% - 强调文字颜色 5" xfId="2" builtinId="46"/>
    <cellStyle name="超链接" xfId="3" builtinId="8"/>
    <cellStyle name="强调文字颜色 5" xfId="4" builtinId="45"/>
    <cellStyle name="60% - 强调文字颜色 5" xfId="5" builtinId="48"/>
    <cellStyle name="警告文本" xfId="6" builtinId="11"/>
    <cellStyle name="20% - 强调文字颜色 4" xfId="7" builtinId="42"/>
    <cellStyle name="百分比" xfId="8" builtinId="5"/>
    <cellStyle name="40% - 强调文字颜色 3" xfId="9" builtinId="39"/>
    <cellStyle name="货币" xfId="10" builtinId="4"/>
    <cellStyle name="强调文字颜色 4" xfId="11" builtinId="41"/>
    <cellStyle name="千位分隔[0]" xfId="12" builtinId="6"/>
    <cellStyle name="40% - 强调文字颜色 4" xfId="13" builtinId="43"/>
    <cellStyle name="60% - 强调文字颜色 3" xfId="14" builtinId="40"/>
    <cellStyle name="千位分隔" xfId="15" builtinId="3"/>
    <cellStyle name="60% - 强调文字颜色 4" xfId="16" builtinId="44"/>
    <cellStyle name="货币[0]" xfId="17" builtinId="7"/>
    <cellStyle name="好" xfId="18" builtinId="26"/>
    <cellStyle name="20% - 强调文字颜色 6" xfId="19" builtinId="50"/>
    <cellStyle name="强调文字颜色 6" xfId="20" builtinId="49"/>
    <cellStyle name="标题" xfId="21" builtinId="15"/>
    <cellStyle name="60% - 强调文字颜色 6" xfId="22" builtinId="52"/>
    <cellStyle name="标题 3" xfId="23" builtinId="18"/>
    <cellStyle name="链接单元格" xfId="24" builtinId="24"/>
    <cellStyle name="汇总" xfId="25" builtinId="25"/>
    <cellStyle name="强调文字颜色 3" xfId="26" builtinId="37"/>
    <cellStyle name="40% - 强调文字颜色 6" xfId="27" builtinId="51"/>
    <cellStyle name="标题 2" xfId="28" builtinId="17"/>
    <cellStyle name="标题 4" xfId="29" builtinId="19"/>
    <cellStyle name="检查单元格" xfId="30" builtinId="23"/>
    <cellStyle name="计算" xfId="31" builtinId="22"/>
    <cellStyle name="输入" xfId="32" builtinId="20"/>
    <cellStyle name="注释" xfId="33" builtinId="10"/>
    <cellStyle name="40% - 强调文字颜色 5" xfId="34" builtinId="47"/>
    <cellStyle name="差" xfId="35" builtinId="27"/>
    <cellStyle name="60% - 强调文字颜色 1" xfId="36" builtinId="32"/>
    <cellStyle name="输出" xfId="37" builtinId="21"/>
    <cellStyle name="20% - 强调文字颜色 3" xfId="38" builtinId="38"/>
    <cellStyle name="40% - 强调文字颜色 1" xfId="39" builtinId="31"/>
    <cellStyle name="20% - 强调文字颜色 1" xfId="40" builtinId="30"/>
    <cellStyle name="强调文字颜色 1" xfId="41" builtinId="29"/>
    <cellStyle name="适中" xfId="42" builtinId="28"/>
    <cellStyle name="解释性文本" xfId="43" builtinId="53"/>
    <cellStyle name="标题 1" xfId="44" builtinId="16"/>
    <cellStyle name="60% - 强调文字颜色 2" xfId="45" builtinId="36"/>
    <cellStyle name="40% - 强调文字颜色 2" xfId="46" builtinId="35"/>
    <cellStyle name="20% - 强调文字颜色 2" xfId="47" builtinId="34"/>
    <cellStyle name="强调文字颜色 2" xfId="48" builtinId="33"/>
  </cellStyles>
  <dxfs count="1">
    <dxf>
      <fill>
        <patternFill patternType="solid">
          <fgColor rgb="FFC6EFCE"/>
          <bgColor rgb="FFC6EF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externalLink" Target="externalLinks/externalLink1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externalLinks/_rels/externalLink1.xml.rels><?xml version="1.0" encoding="UTF-8" standalone="yes"?><Relationships xmlns="http://schemas.openxmlformats.org/package/2006/relationships"><Relationship Id="rId0" Type="http://schemas.openxmlformats.org/officeDocument/2006/relationships/externalLinkPath" Target="\Users\xiongzhen01\Documents\xwechat_files\wxid_ff3ytimc5cw212_1aef\msg\file\2026-05\&#38738;&#23707;&#33014;&#24030;B1&#35843;&#25913;&#20998;&#24037;4.23.xlsx" TargetMode="External"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0">
    <sheetNames>
      <sheetName val="总控（淼）"/>
      <sheetName val="空铺+风险（青）"/>
      <sheetName val="1-3月续签已完成（龙）"/>
      <sheetName val="4月合同到期（龙）"/>
      <sheetName val="5-6月合同到期（龙）"/>
      <sheetName val="4-5月到期已归档"/>
      <sheetName val="B1洽谈进度（青）"/>
      <sheetName val="B1工程条件"/>
      <sheetName val="B1投资测算"/>
      <sheetName val="B1现执行"/>
      <sheetName val="新方案超市内3.26"/>
      <sheetName val="运营接铺"/>
      <sheetName val="改造后B1推广10.6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1">
          <cell r="P71" t="e">
            <v>#REF!</v>
          </cell>
          <cell r="Q71" t="e">
            <v>#REF!</v>
          </cell>
        </row>
        <row r="71">
          <cell r="T71" t="e">
            <v>#REF!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W497"/>
  <sheetViews>
    <sheetView showGridLines="1" tabSelected="0" zoomScale="20" zoomScaleNormal="20" workbookViewId="0">
      <pane xSplit="6" ySplit="1" topLeftCell="G2" activePane="bottomRight" state="frozen"/>
    </sheetView>
  </sheetViews>
  <sheetFormatPr defaultColWidth="9" defaultRowHeight="14"/>
  <cols>
    <col min="1" max="1" width="17.6602" customWidth="1"/>
    <col min="2" max="2" width="16" style="195" customWidth="1"/>
    <col min="3" max="3" width="22" style="195" customWidth="1"/>
    <col min="4" max="4" width="12" style="195" customWidth="1"/>
    <col min="5" max="5" width="15.9" style="195" customWidth="1"/>
    <col min="6" max="6" width="14" style="195" customWidth="1"/>
    <col min="7" max="7" width="12" style="195" customWidth="1"/>
    <col min="8" max="9" width="20.4805" style="196" customWidth="1"/>
    <col min="10" max="10" width="20.4805" style="195" customWidth="1"/>
    <col min="11" max="11" width="12" style="196" customWidth="1"/>
    <col min="12" max="12" width="12" style="195" customWidth="1"/>
    <col min="13" max="13" width="18" style="195" hidden="1" customWidth="1"/>
    <col min="14" max="14" width="16.1914" style="196" customWidth="1"/>
    <col min="15" max="15" width="14.4727" style="196" customWidth="1"/>
    <col min="16" max="16" width="13.9805" style="196" customWidth="1"/>
    <col min="17" max="17" width="13.2422" style="195" customWidth="1"/>
    <col min="18" max="19" width="13.8594" style="195" customWidth="1"/>
    <col min="20" max="20" width="12" style="195" customWidth="1"/>
    <col min="21" max="21" width="14" style="195" customWidth="1"/>
    <col min="22" max="22" width="17.8727" style="195" customWidth="1"/>
    <col min="23" max="23" width="23.6273" style="195" customWidth="1"/>
    <col min="28" max="28" width="19.2455" style="195" customWidth="1"/>
    <col min="29" max="29" width="14.8455" style="195" customWidth="1"/>
  </cols>
  <sheetData>
    <row r="1" spans="1:32">
      <c r="A1" s="4" t="s">
        <v>1</v>
      </c>
      <c r="B1" s="5" t="s"/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8" t="s">
        <v>8</v>
      </c>
      <c r="J1" s="6" t="s">
        <v>9</v>
      </c>
      <c r="K1" s="9" t="s">
        <v>10</v>
      </c>
      <c r="L1" s="6" t="s">
        <v>11</v>
      </c>
      <c r="M1" s="6" t="s">
        <v>12</v>
      </c>
      <c r="N1" s="9" t="s">
        <v>13</v>
      </c>
      <c r="O1" s="10" t="s">
        <v>14</v>
      </c>
      <c r="P1" s="10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11" t="s">
        <v>27</v>
      </c>
      <c r="AC1" s="11" t="s">
        <v>28</v>
      </c>
      <c r="AD1" s="6" t="s">
        <v>29</v>
      </c>
      <c r="AE1" s="6" t="s">
        <v>30</v>
      </c>
      <c r="AF1" s="6" t="s">
        <v>31</v>
      </c>
    </row>
    <row r="2" spans="1:32" ht="16.5" hidden="1" customHeight="1">
      <c r="A2" s="12" t="s">
        <v>32</v>
      </c>
      <c r="B2" s="13" t="s">
        <v>33</v>
      </c>
      <c r="C2" s="14" t="s">
        <v>34</v>
      </c>
      <c r="D2" s="15">
        <v>100.12</v>
      </c>
      <c r="E2" s="16" t="s"/>
      <c r="F2" s="17" t="s"/>
      <c r="G2" s="18" t="s"/>
      <c r="H2" s="19" t="s"/>
      <c r="I2" s="19" t="s"/>
      <c r="J2" s="18" t="s"/>
      <c r="K2" s="20" t="s"/>
      <c r="L2" s="18" t="s"/>
      <c r="M2" s="18" t="s"/>
      <c r="N2" s="21" t="s"/>
      <c r="O2" s="22" t="s"/>
      <c r="P2" s="22" t="s"/>
      <c r="Q2" s="18" t="s"/>
      <c r="R2" s="18" t="s"/>
      <c r="S2" s="18" t="s"/>
      <c r="T2" s="18" t="s"/>
      <c r="U2" s="18" t="s"/>
      <c r="V2" s="18" t="s"/>
      <c r="W2" s="18" t="s"/>
      <c r="X2" s="18" t="s"/>
      <c r="Y2" s="18" t="s"/>
      <c r="Z2" s="18" t="s"/>
      <c r="AA2" s="18" t="s"/>
      <c r="AB2" s="18" t="s"/>
      <c r="AC2" s="18" t="s"/>
      <c r="AD2" s="18" t="s"/>
      <c r="AE2" s="18" t="s"/>
      <c r="AF2" s="18" t="s"/>
    </row>
    <row r="3" spans="1:32" ht="16.5" hidden="1" customHeight="1">
      <c r="A3" s="23" t="s"/>
      <c r="B3" s="18" t="s">
        <v>35</v>
      </c>
      <c r="C3" s="14" t="s">
        <v>36</v>
      </c>
      <c r="D3" s="15">
        <v>110.91</v>
      </c>
      <c r="E3" s="16" t="s">
        <v>37</v>
      </c>
      <c r="F3" s="17" t="s">
        <v>38</v>
      </c>
      <c r="G3" s="18" t="s"/>
      <c r="H3" s="19" t="s"/>
      <c r="I3" s="24" t="s">
        <v>37</v>
      </c>
      <c r="J3" s="18" t="s"/>
      <c r="K3" s="20" t="s">
        <v>39</v>
      </c>
      <c r="L3" s="27" t="s">
        <v>76</v>
      </c>
      <c r="M3" s="18" t="s"/>
      <c r="N3" s="25">
        <v>6.5</v>
      </c>
      <c r="O3" s="24">
        <v>6.12</v>
      </c>
      <c r="P3" s="24">
        <v>6.18</v>
      </c>
      <c r="Q3" s="18" t="s"/>
      <c r="R3" s="18" t="s"/>
      <c r="S3" s="18" t="s"/>
      <c r="T3" s="18" t="s"/>
      <c r="U3" s="18" t="s"/>
      <c r="V3" s="18" t="s"/>
      <c r="W3" s="18" t="s"/>
      <c r="X3" s="18" t="s"/>
      <c r="Y3" s="18" t="s"/>
      <c r="Z3" s="18" t="s"/>
      <c r="AA3" s="18" t="s"/>
      <c r="AB3" s="18" t="s"/>
      <c r="AC3" s="18" t="s"/>
      <c r="AD3" s="18" t="s"/>
      <c r="AE3" s="18" t="s"/>
      <c r="AF3" s="18" t="s"/>
    </row>
    <row r="4" spans="1:32" ht="16.5" hidden="1">
      <c r="A4" s="23" t="s"/>
      <c r="B4" s="18" t="s">
        <v>40</v>
      </c>
      <c r="C4" s="14" t="s">
        <v>41</v>
      </c>
      <c r="D4" s="15">
        <v>66.49</v>
      </c>
      <c r="E4" s="16" t="s">
        <v>37</v>
      </c>
      <c r="F4" s="16" t="s">
        <v>38</v>
      </c>
      <c r="G4" s="18" t="s"/>
      <c r="H4" s="19" t="s"/>
      <c r="I4" s="22" t="s">
        <v>37</v>
      </c>
      <c r="J4" s="18" t="s"/>
      <c r="K4" s="20" t="s">
        <v>39</v>
      </c>
      <c r="L4" s="27" t="s">
        <v>76</v>
      </c>
      <c r="M4" s="18" t="s"/>
      <c r="N4" s="25">
        <v>6.5</v>
      </c>
      <c r="O4" s="22">
        <v>6.12</v>
      </c>
      <c r="P4" s="22">
        <v>6.18</v>
      </c>
      <c r="Q4" s="18" t="s"/>
      <c r="R4" s="18" t="s"/>
      <c r="S4" s="18" t="s"/>
      <c r="T4" s="18" t="s"/>
      <c r="U4" s="18" t="s"/>
      <c r="V4" s="18" t="s"/>
      <c r="W4" s="18" t="s"/>
      <c r="X4" s="18" t="s"/>
      <c r="Y4" s="18" t="s"/>
      <c r="Z4" s="18" t="s"/>
      <c r="AA4" s="18" t="s"/>
      <c r="AB4" s="18" t="s"/>
      <c r="AC4" s="18" t="s"/>
      <c r="AD4" s="18" t="s"/>
      <c r="AE4" s="18" t="s"/>
      <c r="AF4" s="18" t="s"/>
    </row>
    <row r="5" spans="1:32" ht="16.5" hidden="1">
      <c r="A5" s="23" t="s"/>
      <c r="B5" s="18" t="s">
        <v>42</v>
      </c>
      <c r="C5" s="14" t="s">
        <v>43</v>
      </c>
      <c r="D5" s="15">
        <v>71.7</v>
      </c>
      <c r="E5" s="16" t="s">
        <v>37</v>
      </c>
      <c r="F5" s="16" t="s">
        <v>44</v>
      </c>
      <c r="G5" s="18" t="s"/>
      <c r="H5" s="19" t="s"/>
      <c r="I5" s="24" t="s">
        <v>37</v>
      </c>
      <c r="J5" s="18" t="s"/>
      <c r="K5" s="20" t="s">
        <v>39</v>
      </c>
      <c r="L5" s="27" t="s">
        <v>76</v>
      </c>
      <c r="M5" s="18" t="s"/>
      <c r="N5" s="25">
        <v>6.2</v>
      </c>
      <c r="O5" s="24">
        <v>6.11</v>
      </c>
      <c r="P5" s="24">
        <v>6.15</v>
      </c>
      <c r="Q5" s="16" t="s"/>
      <c r="R5" s="16" t="s">
        <v>37</v>
      </c>
      <c r="S5" s="18" t="s"/>
      <c r="T5" s="18" t="s"/>
      <c r="U5" s="18" t="s"/>
      <c r="V5" s="18" t="s"/>
      <c r="W5" s="18" t="s"/>
      <c r="X5" s="18" t="s"/>
      <c r="Y5" s="18" t="s"/>
      <c r="Z5" s="18" t="s"/>
      <c r="AA5" s="18" t="s"/>
      <c r="AB5" s="18" t="s"/>
      <c r="AC5" s="18" t="s"/>
      <c r="AD5" s="18" t="s"/>
      <c r="AE5" s="18" t="s"/>
      <c r="AF5" s="18" t="s"/>
    </row>
    <row r="6" spans="1:32" ht="16.5" hidden="1">
      <c r="A6" s="23" t="s"/>
      <c r="B6" s="18" t="s">
        <v>45</v>
      </c>
      <c r="C6" s="14" t="s">
        <v>46</v>
      </c>
      <c r="D6" s="15">
        <v>64.83</v>
      </c>
      <c r="E6" s="18" t="s"/>
      <c r="F6" s="18" t="s"/>
      <c r="G6" s="18" t="s"/>
      <c r="H6" s="19" t="s"/>
      <c r="I6" s="19" t="s"/>
      <c r="J6" s="18" t="s"/>
      <c r="K6" s="20" t="s"/>
      <c r="L6" s="18" t="s"/>
      <c r="M6" s="18" t="s"/>
      <c r="N6" s="25" t="s"/>
      <c r="O6" s="19" t="s"/>
      <c r="P6" s="19" t="s"/>
      <c r="Q6" s="18" t="s"/>
      <c r="R6" s="18" t="s"/>
      <c r="S6" s="18" t="s"/>
      <c r="T6" s="18" t="s"/>
      <c r="U6" s="18" t="s"/>
      <c r="V6" s="18" t="s"/>
      <c r="W6" s="18" t="s"/>
      <c r="X6" s="18" t="s"/>
      <c r="Y6" s="18" t="s"/>
      <c r="Z6" s="18" t="s"/>
      <c r="AA6" s="18" t="s"/>
      <c r="AB6" s="18" t="s"/>
      <c r="AC6" s="18" t="s"/>
      <c r="AD6" s="18" t="s"/>
      <c r="AE6" s="18" t="s"/>
      <c r="AF6" s="18" t="s"/>
    </row>
    <row r="7" spans="1:32" ht="16.5" hidden="1">
      <c r="A7" s="23" t="s"/>
      <c r="B7" s="18" t="s">
        <v>47</v>
      </c>
      <c r="C7" s="14" t="s">
        <v>48</v>
      </c>
      <c r="D7" s="15">
        <v>64.83</v>
      </c>
      <c r="E7" s="18" t="s"/>
      <c r="F7" s="18" t="s"/>
      <c r="G7" s="18" t="s"/>
      <c r="H7" s="24">
        <v>5.28</v>
      </c>
      <c r="I7" s="19" t="s"/>
      <c r="J7" s="18" t="s"/>
      <c r="K7" s="20" t="s"/>
      <c r="L7" s="18" t="s"/>
      <c r="M7" s="18" t="s"/>
      <c r="N7" s="25" t="s"/>
      <c r="O7" s="19" t="s"/>
      <c r="P7" s="19" t="s"/>
      <c r="Q7" s="18" t="s"/>
      <c r="R7" s="18" t="s"/>
      <c r="S7" s="18" t="s"/>
      <c r="T7" s="18" t="s"/>
      <c r="U7" s="18" t="s"/>
      <c r="V7" s="18" t="s"/>
      <c r="W7" s="18" t="s"/>
      <c r="X7" s="18" t="s"/>
      <c r="Y7" s="18" t="s"/>
      <c r="Z7" s="18" t="s"/>
      <c r="AA7" s="18" t="s"/>
      <c r="AB7" s="18" t="s"/>
      <c r="AC7" s="18" t="s"/>
      <c r="AD7" s="18" t="s"/>
      <c r="AE7" s="18" t="s"/>
      <c r="AF7" s="18" t="s"/>
    </row>
    <row r="8" spans="1:32" ht="16.5" hidden="1">
      <c r="A8" s="23" t="s"/>
      <c r="B8" s="18" t="s">
        <v>49</v>
      </c>
      <c r="C8" s="14" t="s">
        <v>50</v>
      </c>
      <c r="D8" s="26">
        <v>67.58</v>
      </c>
      <c r="E8" s="27" t="s">
        <v>37</v>
      </c>
      <c r="F8" s="24" t="s">
        <v>44</v>
      </c>
      <c r="G8" s="18" t="s"/>
      <c r="H8" s="19" t="s"/>
      <c r="I8" s="24" t="s">
        <v>37</v>
      </c>
      <c r="J8" s="18" t="s"/>
      <c r="K8" s="21" t="s">
        <v>39</v>
      </c>
      <c r="L8" s="27" t="s">
        <v>76</v>
      </c>
      <c r="M8" s="18" t="s"/>
      <c r="N8" s="25" t="s">
        <v>51</v>
      </c>
      <c r="O8" s="24">
        <v>6.11</v>
      </c>
      <c r="P8" s="24">
        <v>6.15</v>
      </c>
      <c r="Q8" s="16" t="s">
        <v>37</v>
      </c>
      <c r="R8" s="18" t="s"/>
      <c r="S8" s="18" t="s"/>
      <c r="T8" s="18" t="s"/>
      <c r="U8" s="18" t="s"/>
      <c r="V8" s="18" t="s"/>
      <c r="W8" s="18" t="s"/>
      <c r="X8" s="18" t="s"/>
      <c r="Y8" s="18" t="s"/>
      <c r="Z8" s="18" t="s"/>
      <c r="AA8" s="18" t="s"/>
      <c r="AB8" s="18" t="s"/>
      <c r="AC8" s="18" t="s"/>
      <c r="AD8" s="18" t="s"/>
      <c r="AE8" s="18" t="s"/>
      <c r="AF8" s="18" t="s"/>
    </row>
    <row r="9" spans="1:32" ht="16.5" hidden="1" customHeight="1">
      <c r="A9" s="23" t="s"/>
      <c r="B9" s="18" t="s">
        <v>52</v>
      </c>
      <c r="C9" s="14" t="s">
        <v>53</v>
      </c>
      <c r="D9" s="26">
        <v>75.07</v>
      </c>
      <c r="E9" s="27" t="s"/>
      <c r="F9" s="19" t="s"/>
      <c r="G9" s="18" t="s"/>
      <c r="H9" s="19" t="s"/>
      <c r="I9" s="19" t="s"/>
      <c r="J9" s="18" t="s"/>
      <c r="K9" s="21" t="s"/>
      <c r="L9" s="18" t="s"/>
      <c r="M9" s="18" t="s"/>
      <c r="N9" s="25" t="s"/>
      <c r="O9" s="19" t="s"/>
      <c r="P9" s="19" t="s"/>
      <c r="Q9" s="18" t="s"/>
      <c r="R9" s="18" t="s"/>
      <c r="S9" s="18" t="s"/>
      <c r="T9" s="18" t="s"/>
      <c r="U9" s="18" t="s"/>
      <c r="V9" s="18" t="s"/>
      <c r="W9" s="18" t="s"/>
      <c r="X9" s="18" t="s"/>
      <c r="Y9" s="18" t="s"/>
      <c r="Z9" s="18" t="s"/>
      <c r="AA9" s="18" t="s"/>
      <c r="AB9" s="18" t="s"/>
      <c r="AC9" s="18" t="s"/>
      <c r="AD9" s="18" t="s"/>
      <c r="AE9" s="18" t="s"/>
      <c r="AF9" s="18" t="s"/>
    </row>
    <row r="10" spans="1:32" ht="16.5" hidden="1">
      <c r="A10" s="23" t="s"/>
      <c r="B10" s="18" t="s">
        <v>54</v>
      </c>
      <c r="C10" s="192" t="s">
        <v>55</v>
      </c>
      <c r="D10" s="15">
        <v>135.41</v>
      </c>
      <c r="E10" s="16" t="s">
        <v>37</v>
      </c>
      <c r="F10" s="16" t="s">
        <v>56</v>
      </c>
      <c r="G10" s="18" t="s"/>
      <c r="H10" s="19" t="s"/>
      <c r="I10" s="193" t="s">
        <v>37</v>
      </c>
      <c r="J10" s="18" t="s"/>
      <c r="K10" s="21" t="s">
        <v>39</v>
      </c>
      <c r="L10" s="27" t="s">
        <v>76</v>
      </c>
      <c r="M10" s="18" t="s"/>
      <c r="N10" s="25" t="s"/>
      <c r="O10" s="19" t="s"/>
      <c r="P10" s="19" t="s"/>
      <c r="Q10" s="18" t="s"/>
      <c r="R10" s="18" t="s"/>
      <c r="S10" s="18" t="s"/>
      <c r="T10" s="18" t="s"/>
      <c r="U10" s="18" t="s"/>
      <c r="V10" s="18" t="s"/>
      <c r="W10" s="18" t="s"/>
      <c r="X10" s="18" t="s"/>
      <c r="Y10" s="18" t="s"/>
      <c r="Z10" s="18" t="s"/>
      <c r="AA10" s="18" t="s"/>
      <c r="AB10" s="18" t="s"/>
      <c r="AC10" s="18" t="s"/>
      <c r="AD10" s="18" t="s"/>
      <c r="AE10" s="18" t="s"/>
      <c r="AF10" s="18" t="s"/>
    </row>
    <row r="11" spans="1:32" ht="16.5" hidden="1">
      <c r="A11" s="23" t="s"/>
      <c r="B11" s="18" t="s">
        <v>57</v>
      </c>
      <c r="C11" s="192" t="s">
        <v>55</v>
      </c>
      <c r="D11" s="15">
        <v>48.75</v>
      </c>
      <c r="E11" s="17" t="s">
        <v>37</v>
      </c>
      <c r="F11" s="17" t="s">
        <v>56</v>
      </c>
      <c r="G11" s="18" t="s"/>
      <c r="H11" s="19" t="s"/>
      <c r="I11" s="22" t="s">
        <v>37</v>
      </c>
      <c r="J11" s="18" t="s"/>
      <c r="K11" s="21" t="s">
        <v>39</v>
      </c>
      <c r="L11" s="27" t="s">
        <v>76</v>
      </c>
      <c r="M11" s="18" t="s"/>
      <c r="N11" s="25" t="s"/>
      <c r="O11" s="19" t="s"/>
      <c r="P11" s="19" t="s"/>
      <c r="Q11" s="18" t="s"/>
      <c r="R11" s="18" t="s"/>
      <c r="S11" s="18" t="s"/>
      <c r="T11" s="18" t="s"/>
      <c r="U11" s="18" t="s"/>
      <c r="V11" s="18" t="s"/>
      <c r="W11" s="18" t="s"/>
      <c r="X11" s="18" t="s"/>
      <c r="Y11" s="18" t="s"/>
      <c r="Z11" s="18" t="s"/>
      <c r="AA11" s="18" t="s"/>
      <c r="AB11" s="18" t="s"/>
      <c r="AC11" s="18" t="s"/>
      <c r="AD11" s="18" t="s"/>
      <c r="AE11" s="18" t="s"/>
      <c r="AF11" s="18" t="s"/>
    </row>
    <row r="12" spans="1:32" ht="16.5" hidden="1">
      <c r="A12" s="28" t="s"/>
      <c r="B12" s="27" t="s">
        <v>58</v>
      </c>
      <c r="C12" s="18" t="s">
        <v>59</v>
      </c>
      <c r="D12" s="27">
        <v>3836.72</v>
      </c>
      <c r="E12" s="18" t="s">
        <v>37</v>
      </c>
      <c r="F12" s="18" t="s">
        <v>60</v>
      </c>
      <c r="G12" s="16" t="s"/>
      <c r="H12" s="19" t="s"/>
      <c r="I12" s="22" t="s">
        <v>37</v>
      </c>
      <c r="J12" s="18" t="s"/>
      <c r="K12" s="20" t="s">
        <v>39</v>
      </c>
      <c r="L12" s="194" t="s">
        <v>76</v>
      </c>
      <c r="M12" s="18" t="s"/>
      <c r="N12" s="25" t="s">
        <v>61</v>
      </c>
      <c r="O12" s="24">
        <v>6.11</v>
      </c>
      <c r="P12" s="29">
        <v>6.18</v>
      </c>
      <c r="Q12" s="18" t="s"/>
      <c r="R12" s="18" t="s"/>
      <c r="S12" s="18" t="s"/>
      <c r="T12" s="18" t="s"/>
      <c r="U12" s="18" t="s"/>
      <c r="V12" s="18" t="s"/>
      <c r="W12" s="18" t="s"/>
      <c r="X12" s="18" t="s"/>
      <c r="Y12" s="18" t="s"/>
      <c r="Z12" s="18" t="s"/>
      <c r="AA12" s="18" t="s"/>
      <c r="AB12" s="18" t="s"/>
      <c r="AC12" s="18" t="s"/>
      <c r="AD12" s="18" t="s"/>
      <c r="AE12" s="18" t="s"/>
      <c r="AF12" s="18" t="s"/>
    </row>
    <row r="13" spans="1:32" ht="16.5" hidden="1">
      <c r="A13" s="30" t="s">
        <v>62</v>
      </c>
      <c r="B13" s="31" t="s">
        <v>63</v>
      </c>
      <c r="C13" s="32" t="s">
        <v>64</v>
      </c>
      <c r="D13" s="31">
        <v>23.44</v>
      </c>
      <c r="E13" s="33" t="s"/>
      <c r="F13" s="33" t="s"/>
      <c r="G13" s="33" t="s"/>
      <c r="H13" s="34" t="s"/>
      <c r="I13" s="34" t="s"/>
      <c r="J13" s="35" t="s"/>
      <c r="K13" s="36" t="s"/>
      <c r="L13" s="33" t="s"/>
      <c r="M13" s="33" t="s"/>
      <c r="N13" s="37" t="s"/>
      <c r="O13" s="38" t="s"/>
      <c r="P13" s="38" t="s"/>
      <c r="Q13" s="33" t="s"/>
      <c r="R13" s="33" t="s"/>
      <c r="S13" s="33" t="s"/>
      <c r="T13" s="33" t="s"/>
      <c r="U13" s="33" t="s"/>
      <c r="V13" s="33" t="s"/>
      <c r="W13" s="33" t="s"/>
      <c r="X13" s="33" t="s"/>
      <c r="Y13" s="33" t="s"/>
      <c r="Z13" s="33" t="s"/>
      <c r="AA13" s="33" t="s"/>
      <c r="AB13" s="33" t="s"/>
      <c r="AC13" s="33" t="s"/>
      <c r="AD13" s="33" t="s"/>
      <c r="AE13" s="33" t="s"/>
      <c r="AF13" s="33" t="s"/>
    </row>
    <row r="14" spans="1:32" ht="16.5" hidden="1">
      <c r="A14" s="39" t="s"/>
      <c r="B14" s="31" t="s">
        <v>65</v>
      </c>
      <c r="C14" s="32" t="s">
        <v>66</v>
      </c>
      <c r="D14" s="31">
        <v>17.85</v>
      </c>
      <c r="E14" s="33" t="s"/>
      <c r="F14" s="33" t="s"/>
      <c r="G14" s="33" t="s"/>
      <c r="H14" s="38" t="s"/>
      <c r="I14" s="38" t="s"/>
      <c r="J14" s="33" t="s"/>
      <c r="K14" s="36" t="s"/>
      <c r="L14" s="33" t="s"/>
      <c r="M14" s="33" t="s"/>
      <c r="N14" s="37" t="s"/>
      <c r="O14" s="38" t="s"/>
      <c r="P14" s="38" t="s"/>
      <c r="Q14" s="33" t="s"/>
      <c r="R14" s="33" t="s"/>
      <c r="S14" s="33" t="s"/>
      <c r="T14" s="33" t="s"/>
      <c r="U14" s="33" t="s"/>
      <c r="V14" s="33" t="s"/>
      <c r="W14" s="33" t="s"/>
      <c r="X14" s="33" t="s"/>
      <c r="Y14" s="33" t="s"/>
      <c r="Z14" s="33" t="s"/>
      <c r="AA14" s="33" t="s"/>
      <c r="AB14" s="33" t="s"/>
      <c r="AC14" s="33" t="s"/>
      <c r="AD14" s="33" t="s"/>
      <c r="AE14" s="33" t="s"/>
      <c r="AF14" s="33" t="s"/>
    </row>
    <row r="15" spans="1:32" ht="16.5" hidden="1">
      <c r="A15" s="39" t="s"/>
      <c r="B15" s="31" t="s">
        <v>67</v>
      </c>
      <c r="C15" s="32" t="s">
        <v>68</v>
      </c>
      <c r="D15" s="31">
        <v>17.85</v>
      </c>
      <c r="E15" s="33" t="s"/>
      <c r="F15" s="33" t="s"/>
      <c r="G15" s="33" t="s"/>
      <c r="H15" s="38" t="s"/>
      <c r="I15" s="38" t="s"/>
      <c r="J15" s="33" t="s"/>
      <c r="K15" s="36" t="s"/>
      <c r="L15" s="33" t="s"/>
      <c r="M15" s="33" t="s"/>
      <c r="N15" s="37" t="s"/>
      <c r="O15" s="38" t="s"/>
      <c r="P15" s="38" t="s"/>
      <c r="Q15" s="33" t="s"/>
      <c r="R15" s="33" t="s"/>
      <c r="S15" s="33" t="s"/>
      <c r="T15" s="33" t="s"/>
      <c r="U15" s="33" t="s"/>
      <c r="V15" s="33" t="s"/>
      <c r="W15" s="33" t="s"/>
      <c r="X15" s="33" t="s"/>
      <c r="Y15" s="33" t="s"/>
      <c r="Z15" s="33" t="s"/>
      <c r="AA15" s="33" t="s"/>
      <c r="AB15" s="33" t="s"/>
      <c r="AC15" s="33" t="s"/>
      <c r="AD15" s="33" t="s"/>
      <c r="AE15" s="33" t="s"/>
      <c r="AF15" s="33" t="s"/>
    </row>
    <row r="16" spans="1:32" ht="16.5" hidden="1">
      <c r="A16" s="39" t="s"/>
      <c r="B16" s="31" t="s">
        <v>69</v>
      </c>
      <c r="C16" s="40" t="s">
        <v>70</v>
      </c>
      <c r="D16" s="31">
        <v>16.52</v>
      </c>
      <c r="E16" s="33" t="s"/>
      <c r="F16" s="33" t="s"/>
      <c r="G16" s="33" t="s"/>
      <c r="H16" s="38" t="s"/>
      <c r="I16" s="38" t="s"/>
      <c r="J16" s="33" t="s"/>
      <c r="K16" s="36" t="s"/>
      <c r="L16" s="33" t="s"/>
      <c r="M16" s="33" t="s"/>
      <c r="N16" s="37" t="s"/>
      <c r="O16" s="38" t="s"/>
      <c r="P16" s="38" t="s"/>
      <c r="Q16" s="33" t="s"/>
      <c r="R16" s="33" t="s"/>
      <c r="S16" s="33" t="s"/>
      <c r="T16" s="33" t="s"/>
      <c r="U16" s="33" t="s"/>
      <c r="V16" s="33" t="s"/>
      <c r="W16" s="33" t="s"/>
      <c r="X16" s="33" t="s"/>
      <c r="Y16" s="33" t="s"/>
      <c r="Z16" s="33" t="s"/>
      <c r="AA16" s="33" t="s"/>
      <c r="AB16" s="33" t="s"/>
      <c r="AC16" s="33" t="s"/>
      <c r="AD16" s="33" t="s"/>
      <c r="AE16" s="33" t="s"/>
      <c r="AF16" s="33" t="s"/>
    </row>
    <row r="17" spans="1:32" ht="16.5" hidden="1">
      <c r="A17" s="39" t="s"/>
      <c r="B17" s="31" t="s">
        <v>71</v>
      </c>
      <c r="C17" s="40" t="s">
        <v>72</v>
      </c>
      <c r="D17" s="31">
        <v>17.72</v>
      </c>
      <c r="E17" s="33" t="s"/>
      <c r="F17" s="33" t="s"/>
      <c r="G17" s="33" t="s"/>
      <c r="H17" s="38" t="s"/>
      <c r="I17" s="38" t="s"/>
      <c r="J17" s="33" t="s"/>
      <c r="K17" s="36" t="s"/>
      <c r="L17" s="33" t="s"/>
      <c r="M17" s="33" t="s"/>
      <c r="N17" s="37" t="s"/>
      <c r="O17" s="38" t="s"/>
      <c r="P17" s="38" t="s"/>
      <c r="Q17" s="33" t="s"/>
      <c r="R17" s="33" t="s"/>
      <c r="S17" s="33" t="s"/>
      <c r="T17" s="33" t="s"/>
      <c r="U17" s="33" t="s"/>
      <c r="V17" s="33" t="s"/>
      <c r="W17" s="33" t="s"/>
      <c r="X17" s="33" t="s"/>
      <c r="Y17" s="33" t="s"/>
      <c r="Z17" s="33" t="s"/>
      <c r="AA17" s="33" t="s"/>
      <c r="AB17" s="33" t="s"/>
      <c r="AC17" s="33" t="s"/>
      <c r="AD17" s="33" t="s"/>
      <c r="AE17" s="33" t="s"/>
      <c r="AF17" s="33" t="s"/>
    </row>
    <row r="18" spans="1:32" ht="16.5" hidden="1">
      <c r="A18" s="39" t="s"/>
      <c r="B18" s="31" t="s">
        <v>73</v>
      </c>
      <c r="C18" s="40" t="s">
        <v>74</v>
      </c>
      <c r="D18" s="31">
        <v>11.33</v>
      </c>
      <c r="E18" s="188" t="s">
        <v>37</v>
      </c>
      <c r="F18" s="42" t="s">
        <v>75</v>
      </c>
      <c r="G18" s="33" t="s"/>
      <c r="H18" s="38" t="s"/>
      <c r="I18" s="38" t="s"/>
      <c r="J18" s="33" t="s"/>
      <c r="K18" s="36" t="s"/>
      <c r="L18" s="35" t="s">
        <v>76</v>
      </c>
      <c r="M18" s="33" t="s"/>
      <c r="N18" s="37" t="s"/>
      <c r="O18" s="43" t="s"/>
      <c r="P18" s="38" t="s"/>
      <c r="Q18" s="33" t="s"/>
      <c r="R18" s="33" t="s"/>
      <c r="S18" s="33" t="s"/>
      <c r="T18" s="33" t="s"/>
      <c r="U18" s="33" t="s"/>
      <c r="V18" s="33" t="s"/>
      <c r="W18" s="33" t="s"/>
      <c r="X18" s="33" t="s"/>
      <c r="Y18" s="33" t="s"/>
      <c r="Z18" s="33" t="s"/>
      <c r="AA18" s="33" t="s"/>
      <c r="AB18" s="33" t="s"/>
      <c r="AC18" s="33" t="s"/>
      <c r="AD18" s="33" t="s"/>
      <c r="AE18" s="33" t="s"/>
      <c r="AF18" s="33" t="s"/>
    </row>
    <row r="19" spans="1:32" ht="16.5" hidden="1">
      <c r="A19" s="39" t="s"/>
      <c r="B19" s="31" t="s">
        <v>77</v>
      </c>
      <c r="C19" s="40" t="s">
        <v>78</v>
      </c>
      <c r="D19" s="31">
        <v>11.33</v>
      </c>
      <c r="E19" s="189" t="s">
        <v>37</v>
      </c>
      <c r="F19" s="42" t="s">
        <v>60</v>
      </c>
      <c r="G19" s="33" t="s"/>
      <c r="H19" s="38" t="s"/>
      <c r="I19" s="38" t="s"/>
      <c r="J19" s="33" t="s"/>
      <c r="K19" s="45" t="s"/>
      <c r="L19" s="46" t="s">
        <v>76</v>
      </c>
      <c r="M19" s="33" t="s"/>
      <c r="N19" s="37" t="s"/>
      <c r="O19" s="47" t="s"/>
      <c r="P19" s="38" t="s"/>
      <c r="Q19" s="33" t="s"/>
      <c r="R19" s="33" t="s"/>
      <c r="S19" s="33" t="s"/>
      <c r="T19" s="33" t="s"/>
      <c r="U19" s="33" t="s"/>
      <c r="V19" s="33" t="s"/>
      <c r="W19" s="33" t="s"/>
      <c r="X19" s="33" t="s"/>
      <c r="Y19" s="33" t="s"/>
      <c r="Z19" s="33" t="s"/>
      <c r="AA19" s="33" t="s"/>
      <c r="AB19" s="33" t="s"/>
      <c r="AC19" s="33" t="s"/>
      <c r="AD19" s="33" t="s"/>
      <c r="AE19" s="33" t="s"/>
      <c r="AF19" s="33" t="s"/>
    </row>
    <row r="20" spans="1:32" ht="16.5" hidden="1">
      <c r="A20" s="39" t="s"/>
      <c r="B20" s="31" t="s">
        <v>79</v>
      </c>
      <c r="C20" s="48" t="s">
        <v>80</v>
      </c>
      <c r="D20" s="31">
        <v>22.28</v>
      </c>
      <c r="E20" s="188" t="s">
        <v>37</v>
      </c>
      <c r="F20" s="42" t="s">
        <v>44</v>
      </c>
      <c r="G20" s="33" t="s"/>
      <c r="H20" s="38" t="s"/>
      <c r="I20" s="38" t="s"/>
      <c r="J20" s="33" t="s"/>
      <c r="K20" s="45" t="s">
        <v>81</v>
      </c>
      <c r="L20" s="46" t="s">
        <v>76</v>
      </c>
      <c r="M20" s="33" t="s"/>
      <c r="N20" s="37" t="s">
        <v>298</v>
      </c>
      <c r="O20" s="43" t="s">
        <v>298</v>
      </c>
      <c r="P20" s="43">
        <v>6.15</v>
      </c>
      <c r="Q20" s="42">
        <v>5.29</v>
      </c>
      <c r="R20" s="42">
        <v>5.29</v>
      </c>
      <c r="S20" s="33" t="s"/>
      <c r="T20" s="33" t="s"/>
      <c r="U20" s="33" t="s"/>
      <c r="V20" s="33" t="s"/>
      <c r="W20" s="33" t="s"/>
      <c r="X20" s="33" t="s"/>
      <c r="Y20" s="33" t="s"/>
      <c r="Z20" s="33" t="s"/>
      <c r="AA20" s="33" t="s"/>
      <c r="AB20" s="33" t="s"/>
      <c r="AC20" s="33" t="s"/>
      <c r="AD20" s="33" t="s"/>
      <c r="AE20" s="33" t="s"/>
      <c r="AF20" s="33" t="s"/>
    </row>
    <row r="21" spans="1:32" ht="16.5" hidden="1">
      <c r="A21" s="39" t="s"/>
      <c r="B21" s="31" t="s">
        <v>82</v>
      </c>
      <c r="C21" s="40" t="s">
        <v>83</v>
      </c>
      <c r="D21" s="31">
        <v>11.7</v>
      </c>
      <c r="E21" s="49" t="s">
        <v>76</v>
      </c>
      <c r="F21" s="42" t="s">
        <v>44</v>
      </c>
      <c r="G21" s="33" t="s"/>
      <c r="H21" s="38" t="s"/>
      <c r="I21" s="38" t="s"/>
      <c r="J21" s="33" t="s"/>
      <c r="K21" s="36" t="s"/>
      <c r="L21" s="46" t="s"/>
      <c r="M21" s="33" t="s"/>
      <c r="N21" s="37" t="s"/>
      <c r="O21" s="38" t="s"/>
      <c r="P21" s="38" t="s"/>
      <c r="Q21" s="33" t="s"/>
      <c r="R21" s="33" t="s"/>
      <c r="S21" s="33" t="s"/>
      <c r="T21" s="33" t="s"/>
      <c r="U21" s="33" t="s"/>
      <c r="V21" s="33" t="s"/>
      <c r="W21" s="33" t="s"/>
      <c r="X21" s="33" t="s"/>
      <c r="Y21" s="33" t="s"/>
      <c r="Z21" s="33" t="s"/>
      <c r="AA21" s="33" t="s"/>
      <c r="AB21" s="33" t="s"/>
      <c r="AC21" s="33" t="s"/>
      <c r="AD21" s="33" t="s"/>
      <c r="AE21" s="33" t="s"/>
      <c r="AF21" s="33" t="s"/>
    </row>
    <row r="22" spans="1:32" ht="16.5" hidden="1">
      <c r="A22" s="39" t="s"/>
      <c r="B22" s="31" t="s">
        <v>84</v>
      </c>
      <c r="C22" s="40" t="s">
        <v>85</v>
      </c>
      <c r="D22" s="31">
        <v>10.73</v>
      </c>
      <c r="E22" s="50">
        <v>6.15</v>
      </c>
      <c r="F22" s="33" t="s">
        <v>86</v>
      </c>
      <c r="G22" s="33" t="s"/>
      <c r="H22" s="38" t="s"/>
      <c r="I22" s="38" t="s"/>
      <c r="J22" s="33" t="s"/>
      <c r="K22" s="36" t="s"/>
      <c r="L22" s="46" t="s">
        <v>76</v>
      </c>
      <c r="M22" s="33" t="s"/>
      <c r="N22" s="37" t="s"/>
      <c r="O22" s="38" t="s"/>
      <c r="P22" s="38" t="s"/>
      <c r="Q22" s="33" t="s"/>
      <c r="R22" s="33" t="s"/>
      <c r="S22" s="33" t="s"/>
      <c r="T22" s="33" t="s"/>
      <c r="U22" s="33" t="s"/>
      <c r="V22" s="33" t="s"/>
      <c r="W22" s="33" t="s"/>
      <c r="X22" s="33" t="s"/>
      <c r="Y22" s="33" t="s"/>
      <c r="Z22" s="33" t="s"/>
      <c r="AA22" s="33" t="s"/>
      <c r="AB22" s="33" t="s"/>
      <c r="AC22" s="33" t="s"/>
      <c r="AD22" s="33" t="s"/>
      <c r="AE22" s="33" t="s"/>
      <c r="AF22" s="33" t="s"/>
    </row>
    <row r="23" spans="1:32" ht="16.5" hidden="1">
      <c r="A23" s="39" t="s"/>
      <c r="B23" s="31" t="s">
        <v>87</v>
      </c>
      <c r="C23" s="40" t="s">
        <v>88</v>
      </c>
      <c r="D23" s="31">
        <v>13.65</v>
      </c>
      <c r="E23" s="33" t="s"/>
      <c r="F23" s="33" t="s"/>
      <c r="G23" s="33" t="s"/>
      <c r="H23" s="38" t="s"/>
      <c r="I23" s="38" t="s"/>
      <c r="J23" s="33" t="s"/>
      <c r="K23" s="36" t="s"/>
      <c r="L23" s="33" t="s"/>
      <c r="M23" s="33" t="s"/>
      <c r="N23" s="37" t="s"/>
      <c r="O23" s="38" t="s"/>
      <c r="P23" s="38" t="s"/>
      <c r="Q23" s="33" t="s"/>
      <c r="R23" s="33" t="s"/>
      <c r="S23" s="33" t="s"/>
      <c r="T23" s="33" t="s"/>
      <c r="U23" s="33" t="s"/>
      <c r="V23" s="33" t="s"/>
      <c r="W23" s="33" t="s"/>
      <c r="X23" s="33" t="s"/>
      <c r="Y23" s="33" t="s"/>
      <c r="Z23" s="33" t="s"/>
      <c r="AA23" s="33" t="s"/>
      <c r="AB23" s="33" t="s"/>
      <c r="AC23" s="33" t="s"/>
      <c r="AD23" s="33" t="s"/>
      <c r="AE23" s="33" t="s"/>
      <c r="AF23" s="33" t="s"/>
    </row>
    <row r="24" spans="1:32" ht="16.5" hidden="1">
      <c r="A24" s="39" t="s"/>
      <c r="B24" s="31" t="s">
        <v>89</v>
      </c>
      <c r="C24" s="40" t="s">
        <v>90</v>
      </c>
      <c r="D24" s="31">
        <v>13.65</v>
      </c>
      <c r="E24" s="33" t="s"/>
      <c r="F24" s="33" t="s"/>
      <c r="G24" s="33" t="s"/>
      <c r="H24" s="38" t="s"/>
      <c r="I24" s="38" t="s"/>
      <c r="J24" s="33" t="s"/>
      <c r="K24" s="36" t="s"/>
      <c r="L24" s="33" t="s"/>
      <c r="M24" s="33" t="s"/>
      <c r="N24" s="37" t="s"/>
      <c r="O24" s="38" t="s"/>
      <c r="P24" s="38" t="s"/>
      <c r="Q24" s="33" t="s"/>
      <c r="R24" s="33" t="s"/>
      <c r="S24" s="33" t="s"/>
      <c r="T24" s="33" t="s"/>
      <c r="U24" s="33" t="s"/>
      <c r="V24" s="33" t="s"/>
      <c r="W24" s="33" t="s"/>
      <c r="X24" s="33" t="s"/>
      <c r="Y24" s="33" t="s"/>
      <c r="Z24" s="33" t="s"/>
      <c r="AA24" s="33" t="s"/>
      <c r="AB24" s="33" t="s"/>
      <c r="AC24" s="33" t="s"/>
      <c r="AD24" s="33" t="s"/>
      <c r="AE24" s="33" t="s"/>
      <c r="AF24" s="33" t="s"/>
    </row>
    <row r="25" spans="1:32" ht="16.5" hidden="1">
      <c r="A25" s="39" t="s"/>
      <c r="B25" s="31" t="s">
        <v>91</v>
      </c>
      <c r="C25" s="40" t="s">
        <v>92</v>
      </c>
      <c r="D25" s="31">
        <v>16.74</v>
      </c>
      <c r="E25" s="33" t="s"/>
      <c r="F25" s="33" t="s"/>
      <c r="G25" s="33" t="s"/>
      <c r="H25" s="38" t="s"/>
      <c r="I25" s="38" t="s"/>
      <c r="J25" s="33" t="s"/>
      <c r="K25" s="36" t="s"/>
      <c r="L25" s="33" t="s"/>
      <c r="M25" s="33" t="s"/>
      <c r="N25" s="37" t="s"/>
      <c r="O25" s="38" t="s"/>
      <c r="P25" s="38" t="s"/>
      <c r="Q25" s="33" t="s"/>
      <c r="R25" s="33" t="s"/>
      <c r="S25" s="33" t="s"/>
      <c r="T25" s="33" t="s"/>
      <c r="U25" s="33" t="s"/>
      <c r="V25" s="33" t="s"/>
      <c r="W25" s="33" t="s"/>
      <c r="X25" s="33" t="s"/>
      <c r="Y25" s="33" t="s"/>
      <c r="Z25" s="33" t="s"/>
      <c r="AA25" s="33" t="s"/>
      <c r="AB25" s="33" t="s"/>
      <c r="AC25" s="33" t="s"/>
      <c r="AD25" s="33" t="s"/>
      <c r="AE25" s="33" t="s"/>
      <c r="AF25" s="33" t="s"/>
    </row>
    <row r="26" spans="1:32" ht="16.5" hidden="1">
      <c r="A26" s="39" t="s"/>
      <c r="B26" s="31" t="s">
        <v>93</v>
      </c>
      <c r="C26" s="40" t="s">
        <v>94</v>
      </c>
      <c r="D26" s="31">
        <v>15.3</v>
      </c>
      <c r="E26" s="33" t="s"/>
      <c r="F26" s="33" t="s"/>
      <c r="G26" s="33" t="s"/>
      <c r="H26" s="38" t="s"/>
      <c r="I26" s="38" t="s"/>
      <c r="J26" s="33" t="s"/>
      <c r="K26" s="36" t="s"/>
      <c r="L26" s="33" t="s"/>
      <c r="M26" s="33" t="s"/>
      <c r="N26" s="37" t="s"/>
      <c r="O26" s="38" t="s"/>
      <c r="P26" s="38" t="s"/>
      <c r="Q26" s="33" t="s"/>
      <c r="R26" s="33" t="s"/>
      <c r="S26" s="33" t="s"/>
      <c r="T26" s="33" t="s"/>
      <c r="U26" s="33" t="s"/>
      <c r="V26" s="33" t="s"/>
      <c r="W26" s="33" t="s"/>
      <c r="X26" s="33" t="s"/>
      <c r="Y26" s="33" t="s"/>
      <c r="Z26" s="33" t="s"/>
      <c r="AA26" s="33" t="s"/>
      <c r="AB26" s="33" t="s"/>
      <c r="AC26" s="33" t="s"/>
      <c r="AD26" s="33" t="s"/>
      <c r="AE26" s="33" t="s"/>
      <c r="AF26" s="33" t="s"/>
    </row>
    <row r="27" spans="1:32" ht="16.5" hidden="1">
      <c r="A27" s="39" t="s"/>
      <c r="B27" s="31" t="s">
        <v>95</v>
      </c>
      <c r="C27" s="40" t="s">
        <v>96</v>
      </c>
      <c r="D27" s="31">
        <v>16.24</v>
      </c>
      <c r="E27" s="33" t="s"/>
      <c r="F27" s="33" t="s"/>
      <c r="G27" s="33" t="s"/>
      <c r="H27" s="38" t="s"/>
      <c r="I27" s="38" t="s"/>
      <c r="J27" s="33" t="s"/>
      <c r="K27" s="36" t="s"/>
      <c r="L27" s="33" t="s"/>
      <c r="M27" s="33" t="s"/>
      <c r="N27" s="37" t="s"/>
      <c r="O27" s="38" t="s"/>
      <c r="P27" s="38" t="s"/>
      <c r="Q27" s="33" t="s"/>
      <c r="R27" s="33" t="s"/>
      <c r="S27" s="33" t="s"/>
      <c r="T27" s="33" t="s"/>
      <c r="U27" s="33" t="s"/>
      <c r="V27" s="33" t="s"/>
      <c r="W27" s="33" t="s"/>
      <c r="X27" s="33" t="s"/>
      <c r="Y27" s="33" t="s"/>
      <c r="Z27" s="33" t="s"/>
      <c r="AA27" s="33" t="s"/>
      <c r="AB27" s="33" t="s"/>
      <c r="AC27" s="33" t="s"/>
      <c r="AD27" s="33" t="s"/>
      <c r="AE27" s="33" t="s"/>
      <c r="AF27" s="33" t="s"/>
    </row>
    <row r="28" spans="1:32" ht="16.5" hidden="1">
      <c r="A28" s="39" t="s"/>
      <c r="B28" s="31" t="s">
        <v>97</v>
      </c>
      <c r="C28" s="40" t="s">
        <v>98</v>
      </c>
      <c r="D28" s="31">
        <v>14.8</v>
      </c>
      <c r="E28" s="33" t="s"/>
      <c r="F28" s="33" t="s"/>
      <c r="G28" s="33" t="s"/>
      <c r="H28" s="38" t="s"/>
      <c r="I28" s="38" t="s"/>
      <c r="J28" s="33" t="s"/>
      <c r="K28" s="36" t="s"/>
      <c r="L28" s="33" t="s"/>
      <c r="M28" s="33" t="s"/>
      <c r="N28" s="37" t="s"/>
      <c r="O28" s="38" t="s"/>
      <c r="P28" s="38" t="s"/>
      <c r="Q28" s="33" t="s"/>
      <c r="R28" s="33" t="s"/>
      <c r="S28" s="33" t="s"/>
      <c r="T28" s="33" t="s"/>
      <c r="U28" s="33" t="s"/>
      <c r="V28" s="33" t="s"/>
      <c r="W28" s="33" t="s"/>
      <c r="X28" s="33" t="s"/>
      <c r="Y28" s="33" t="s"/>
      <c r="Z28" s="33" t="s"/>
      <c r="AA28" s="33" t="s"/>
      <c r="AB28" s="33" t="s"/>
      <c r="AC28" s="33" t="s"/>
      <c r="AD28" s="33" t="s"/>
      <c r="AE28" s="33" t="s"/>
      <c r="AF28" s="33" t="s"/>
    </row>
    <row r="29" spans="1:32" ht="16.5" hidden="1">
      <c r="A29" s="39" t="s"/>
      <c r="B29" s="31" t="s">
        <v>99</v>
      </c>
      <c r="C29" s="40" t="s">
        <v>100</v>
      </c>
      <c r="D29" s="31">
        <v>12.4</v>
      </c>
      <c r="E29" s="33" t="s"/>
      <c r="F29" s="33" t="s"/>
      <c r="G29" s="33" t="s"/>
      <c r="H29" s="38" t="s"/>
      <c r="I29" s="38" t="s"/>
      <c r="J29" s="33" t="s"/>
      <c r="K29" s="36" t="s"/>
      <c r="L29" s="33" t="s"/>
      <c r="M29" s="33" t="s"/>
      <c r="N29" s="37" t="s"/>
      <c r="O29" s="38" t="s"/>
      <c r="P29" s="38" t="s"/>
      <c r="Q29" s="33" t="s"/>
      <c r="R29" s="33" t="s"/>
      <c r="S29" s="33" t="s"/>
      <c r="T29" s="33" t="s"/>
      <c r="U29" s="33" t="s"/>
      <c r="V29" s="33" t="s"/>
      <c r="W29" s="33" t="s"/>
      <c r="X29" s="33" t="s"/>
      <c r="Y29" s="33" t="s"/>
      <c r="Z29" s="33" t="s"/>
      <c r="AA29" s="33" t="s"/>
      <c r="AB29" s="33" t="s"/>
      <c r="AC29" s="33" t="s"/>
      <c r="AD29" s="33" t="s"/>
      <c r="AE29" s="33" t="s"/>
      <c r="AF29" s="33" t="s"/>
    </row>
    <row r="30" spans="1:32" ht="16.5" hidden="1">
      <c r="A30" s="39" t="s"/>
      <c r="B30" s="31" t="s">
        <v>101</v>
      </c>
      <c r="C30" s="40" t="s">
        <v>102</v>
      </c>
      <c r="D30" s="31">
        <v>15.2</v>
      </c>
      <c r="E30" s="33" t="s"/>
      <c r="F30" s="33" t="s"/>
      <c r="G30" s="33" t="s"/>
      <c r="H30" s="38" t="s"/>
      <c r="I30" s="38" t="s"/>
      <c r="J30" s="33" t="s"/>
      <c r="K30" s="36" t="s"/>
      <c r="L30" s="33" t="s"/>
      <c r="M30" s="33" t="s"/>
      <c r="N30" s="37" t="s"/>
      <c r="O30" s="38" t="s"/>
      <c r="P30" s="38" t="s"/>
      <c r="Q30" s="33" t="s"/>
      <c r="R30" s="33" t="s"/>
      <c r="S30" s="33" t="s"/>
      <c r="T30" s="33" t="s"/>
      <c r="U30" s="33" t="s"/>
      <c r="V30" s="33" t="s"/>
      <c r="W30" s="33" t="s"/>
      <c r="X30" s="33" t="s"/>
      <c r="Y30" s="33" t="s"/>
      <c r="Z30" s="33" t="s"/>
      <c r="AA30" s="33" t="s"/>
      <c r="AB30" s="33" t="s"/>
      <c r="AC30" s="33" t="s"/>
      <c r="AD30" s="33" t="s"/>
      <c r="AE30" s="33" t="s"/>
      <c r="AF30" s="33" t="s"/>
    </row>
    <row r="31" spans="1:32" ht="16.5" hidden="1">
      <c r="A31" s="39" t="s"/>
      <c r="B31" s="31" t="s">
        <v>103</v>
      </c>
      <c r="C31" s="40" t="s">
        <v>104</v>
      </c>
      <c r="D31" s="31">
        <v>12.9</v>
      </c>
      <c r="E31" s="190" t="s">
        <v>37</v>
      </c>
      <c r="F31" s="42" t="s">
        <v>60</v>
      </c>
      <c r="G31" s="33" t="s"/>
      <c r="H31" s="43">
        <v>5.31</v>
      </c>
      <c r="I31" s="38" t="s"/>
      <c r="J31" s="33" t="s"/>
      <c r="K31" s="45" t="s">
        <v>105</v>
      </c>
      <c r="L31" s="46" t="s">
        <v>76</v>
      </c>
      <c r="M31" s="33" t="s"/>
      <c r="N31" s="37">
        <v>6.15</v>
      </c>
      <c r="O31" s="51">
        <v>6.21</v>
      </c>
      <c r="P31" s="51">
        <v>7.1</v>
      </c>
      <c r="Q31" s="33" t="s"/>
      <c r="R31" s="33" t="s"/>
      <c r="S31" s="33" t="s"/>
      <c r="T31" s="33" t="s"/>
      <c r="U31" s="33" t="s"/>
      <c r="V31" s="33" t="s"/>
      <c r="W31" s="33" t="s"/>
      <c r="X31" s="33" t="s"/>
      <c r="Y31" s="33" t="s"/>
      <c r="Z31" s="33" t="s"/>
      <c r="AA31" s="33" t="s"/>
      <c r="AB31" s="33" t="s"/>
      <c r="AC31" s="33" t="s"/>
      <c r="AD31" s="33" t="s"/>
      <c r="AE31" s="33" t="s"/>
      <c r="AF31" s="33" t="s"/>
    </row>
    <row r="32" spans="1:32" ht="16.5" hidden="1">
      <c r="A32" s="39" t="s"/>
      <c r="B32" s="31" t="s">
        <v>106</v>
      </c>
      <c r="C32" s="40" t="s">
        <v>107</v>
      </c>
      <c r="D32" s="31">
        <v>15.38</v>
      </c>
      <c r="E32" s="190" t="s">
        <v>37</v>
      </c>
      <c r="F32" s="52" t="s">
        <v>60</v>
      </c>
      <c r="G32" s="33" t="s"/>
      <c r="H32" s="47">
        <v>5.31</v>
      </c>
      <c r="I32" s="38" t="s"/>
      <c r="J32" s="33" t="s"/>
      <c r="K32" s="45" t="s">
        <v>105</v>
      </c>
      <c r="L32" s="46" t="s">
        <v>76</v>
      </c>
      <c r="M32" s="33" t="s"/>
      <c r="N32" s="37">
        <v>6.15</v>
      </c>
      <c r="O32" s="51">
        <v>6.21</v>
      </c>
      <c r="P32" s="51">
        <v>7.1</v>
      </c>
      <c r="Q32" s="33" t="s"/>
      <c r="R32" s="33" t="s"/>
      <c r="S32" s="33" t="s"/>
      <c r="T32" s="33" t="s"/>
      <c r="U32" s="33" t="s"/>
      <c r="V32" s="33" t="s"/>
      <c r="W32" s="33" t="s"/>
      <c r="X32" s="33" t="s"/>
      <c r="Y32" s="33" t="s"/>
      <c r="Z32" s="33" t="s"/>
      <c r="AA32" s="33" t="s"/>
      <c r="AB32" s="33" t="s"/>
      <c r="AC32" s="33" t="s"/>
      <c r="AD32" s="33" t="s"/>
      <c r="AE32" s="33" t="s"/>
      <c r="AF32" s="33" t="s"/>
    </row>
    <row r="33" spans="1:32" ht="16.5" hidden="1">
      <c r="A33" s="39" t="s"/>
      <c r="B33" s="31" t="s">
        <v>108</v>
      </c>
      <c r="C33" s="40" t="s">
        <v>109</v>
      </c>
      <c r="D33" s="31">
        <v>17.51</v>
      </c>
      <c r="E33" s="33" t="s"/>
      <c r="F33" s="33" t="s"/>
      <c r="G33" s="33" t="s"/>
      <c r="H33" s="38" t="s"/>
      <c r="I33" s="38" t="s"/>
      <c r="J33" s="33" t="s"/>
      <c r="K33" s="36" t="s"/>
      <c r="L33" s="33" t="s"/>
      <c r="M33" s="33" t="s"/>
      <c r="N33" s="37" t="s"/>
      <c r="O33" s="38" t="s"/>
      <c r="P33" s="38" t="s"/>
      <c r="Q33" s="33" t="s"/>
      <c r="R33" s="33" t="s"/>
      <c r="S33" s="33" t="s"/>
      <c r="T33" s="33" t="s"/>
      <c r="U33" s="33" t="s"/>
      <c r="V33" s="33" t="s"/>
      <c r="W33" s="33" t="s"/>
      <c r="X33" s="33" t="s"/>
      <c r="Y33" s="33" t="s"/>
      <c r="Z33" s="33" t="s"/>
      <c r="AA33" s="33" t="s"/>
      <c r="AB33" s="33" t="s"/>
      <c r="AC33" s="33" t="s"/>
      <c r="AD33" s="33" t="s"/>
      <c r="AE33" s="33" t="s"/>
      <c r="AF33" s="33" t="s"/>
    </row>
    <row r="34" spans="1:32" ht="16.5" hidden="1">
      <c r="A34" s="39" t="s"/>
      <c r="B34" s="31" t="s">
        <v>110</v>
      </c>
      <c r="C34" s="40" t="s">
        <v>111</v>
      </c>
      <c r="D34" s="31">
        <v>17.83</v>
      </c>
      <c r="E34" s="33" t="s"/>
      <c r="F34" s="33" t="s"/>
      <c r="G34" s="33" t="s"/>
      <c r="H34" s="38" t="s"/>
      <c r="I34" s="38" t="s"/>
      <c r="J34" s="33" t="s"/>
      <c r="K34" s="36" t="s"/>
      <c r="L34" s="33" t="s"/>
      <c r="M34" s="33" t="s"/>
      <c r="N34" s="37" t="s"/>
      <c r="O34" s="38" t="s"/>
      <c r="P34" s="38" t="s"/>
      <c r="Q34" s="33" t="s"/>
      <c r="R34" s="33" t="s"/>
      <c r="S34" s="33" t="s"/>
      <c r="T34" s="33" t="s"/>
      <c r="U34" s="33" t="s"/>
      <c r="V34" s="33" t="s"/>
      <c r="W34" s="33" t="s"/>
      <c r="X34" s="33" t="s"/>
      <c r="Y34" s="33" t="s"/>
      <c r="Z34" s="33" t="s"/>
      <c r="AA34" s="33" t="s"/>
      <c r="AB34" s="33" t="s"/>
      <c r="AC34" s="33" t="s"/>
      <c r="AD34" s="33" t="s"/>
      <c r="AE34" s="33" t="s"/>
      <c r="AF34" s="33" t="s"/>
    </row>
    <row r="35" spans="1:32" ht="16.5" hidden="1">
      <c r="A35" s="39" t="s"/>
      <c r="B35" s="31" t="s">
        <v>112</v>
      </c>
      <c r="C35" s="40" t="s">
        <v>113</v>
      </c>
      <c r="D35" s="31">
        <v>17.83</v>
      </c>
      <c r="E35" s="33" t="s"/>
      <c r="F35" s="33" t="s"/>
      <c r="G35" s="33" t="s"/>
      <c r="H35" s="38" t="s"/>
      <c r="I35" s="38" t="s"/>
      <c r="J35" s="33" t="s"/>
      <c r="K35" s="36" t="s"/>
      <c r="L35" s="33" t="s"/>
      <c r="M35" s="33" t="s"/>
      <c r="N35" s="37" t="s"/>
      <c r="O35" s="38" t="s"/>
      <c r="P35" s="38" t="s"/>
      <c r="Q35" s="33" t="s"/>
      <c r="R35" s="33" t="s"/>
      <c r="S35" s="33" t="s"/>
      <c r="T35" s="33" t="s"/>
      <c r="U35" s="33" t="s"/>
      <c r="V35" s="33" t="s"/>
      <c r="W35" s="33" t="s"/>
      <c r="X35" s="33" t="s"/>
      <c r="Y35" s="33" t="s"/>
      <c r="Z35" s="33" t="s"/>
      <c r="AA35" s="33" t="s"/>
      <c r="AB35" s="33" t="s"/>
      <c r="AC35" s="33" t="s"/>
      <c r="AD35" s="33" t="s"/>
      <c r="AE35" s="33" t="s"/>
      <c r="AF35" s="33" t="s"/>
    </row>
    <row r="36" spans="1:32" ht="16.5" hidden="1">
      <c r="A36" s="53" t="s"/>
      <c r="B36" s="54" t="s">
        <v>114</v>
      </c>
      <c r="C36" s="55" t="s">
        <v>115</v>
      </c>
      <c r="D36" s="54">
        <v>37.22</v>
      </c>
      <c r="E36" s="38" t="s"/>
      <c r="F36" s="38" t="s"/>
      <c r="G36" s="38" t="s"/>
      <c r="H36" s="38" t="s"/>
      <c r="I36" s="38" t="s"/>
      <c r="J36" s="38" t="s"/>
      <c r="K36" s="36" t="s"/>
      <c r="L36" s="38" t="s"/>
      <c r="M36" s="38" t="s"/>
      <c r="N36" s="37" t="s"/>
      <c r="O36" s="38" t="s"/>
      <c r="P36" s="38" t="s"/>
      <c r="Q36" s="38" t="s"/>
      <c r="R36" s="38" t="s"/>
      <c r="S36" s="38" t="s"/>
      <c r="T36" s="38" t="s"/>
      <c r="U36" s="38" t="s"/>
      <c r="V36" s="38" t="s"/>
      <c r="W36" s="38" t="s"/>
      <c r="X36" s="38" t="s"/>
      <c r="Y36" s="38" t="s"/>
      <c r="Z36" s="38" t="s"/>
      <c r="AA36" s="38" t="s"/>
      <c r="AB36" s="38" t="s"/>
      <c r="AC36" s="38" t="s"/>
      <c r="AD36" s="38" t="s"/>
      <c r="AE36" s="38" t="s"/>
      <c r="AF36" s="38" t="s"/>
    </row>
    <row r="37" spans="1:32" ht="33" hidden="1">
      <c r="A37" s="56" t="s">
        <v>116</v>
      </c>
      <c r="B37" s="57" t="s">
        <v>117</v>
      </c>
      <c r="C37" s="58" t="s">
        <v>118</v>
      </c>
      <c r="D37" s="59">
        <v>142.42</v>
      </c>
      <c r="E37" s="60" t="s"/>
      <c r="F37" s="60" t="s"/>
      <c r="G37" s="60" t="s"/>
      <c r="H37" s="61" t="s"/>
      <c r="I37" s="61" t="s"/>
      <c r="J37" s="60" t="s"/>
      <c r="K37" s="62" t="s"/>
      <c r="L37" s="60" t="s"/>
      <c r="M37" s="60" t="s"/>
      <c r="N37" s="63" t="s"/>
      <c r="O37" s="61" t="s"/>
      <c r="P37" s="61" t="s"/>
      <c r="Q37" s="60" t="s"/>
      <c r="R37" s="60" t="s"/>
      <c r="S37" s="60" t="s"/>
      <c r="T37" s="60" t="s"/>
      <c r="U37" s="60" t="s"/>
      <c r="V37" s="60" t="s"/>
      <c r="W37" s="60" t="s"/>
      <c r="X37" s="60" t="s"/>
      <c r="Y37" s="60" t="s"/>
      <c r="Z37" s="60" t="s"/>
      <c r="AA37" s="60" t="s"/>
      <c r="AB37" s="60" t="s"/>
      <c r="AC37" s="60" t="s"/>
      <c r="AD37" s="60" t="s"/>
      <c r="AE37" s="60" t="s"/>
      <c r="AF37" s="60" t="s"/>
    </row>
    <row r="38" spans="1:32" ht="16.5" hidden="1">
      <c r="A38" s="64" t="s"/>
      <c r="B38" s="57" t="s">
        <v>119</v>
      </c>
      <c r="C38" s="58" t="s">
        <v>120</v>
      </c>
      <c r="D38" s="59">
        <v>119.87</v>
      </c>
      <c r="E38" s="65" t="s">
        <v>121</v>
      </c>
      <c r="F38" s="65" t="s">
        <v>121</v>
      </c>
      <c r="G38" s="60" t="s"/>
      <c r="H38" s="61" t="s"/>
      <c r="I38" s="61" t="s"/>
      <c r="J38" s="60" t="s"/>
      <c r="K38" s="62" t="s"/>
      <c r="L38" s="60" t="s"/>
      <c r="M38" s="60" t="s"/>
      <c r="N38" s="63" t="s"/>
      <c r="O38" s="61" t="s"/>
      <c r="P38" s="61" t="s"/>
      <c r="Q38" s="60" t="s"/>
      <c r="R38" s="60" t="s"/>
      <c r="S38" s="60" t="s"/>
      <c r="T38" s="60" t="s"/>
      <c r="U38" s="60" t="s"/>
      <c r="V38" s="60" t="s"/>
      <c r="W38" s="60" t="s"/>
      <c r="X38" s="60" t="s"/>
      <c r="Y38" s="60" t="s"/>
      <c r="Z38" s="60" t="s"/>
      <c r="AA38" s="60" t="s"/>
      <c r="AB38" s="60" t="s"/>
      <c r="AC38" s="60" t="s"/>
      <c r="AD38" s="60" t="s"/>
      <c r="AE38" s="60" t="s"/>
      <c r="AF38" s="60" t="s"/>
    </row>
    <row r="39" spans="1:32" ht="16.5" hidden="1">
      <c r="A39" s="64" t="s"/>
      <c r="B39" s="57" t="s">
        <v>122</v>
      </c>
      <c r="C39" s="58" t="s">
        <v>123</v>
      </c>
      <c r="D39" s="59">
        <v>62.56</v>
      </c>
      <c r="E39" s="66" t="s">
        <v>37</v>
      </c>
      <c r="F39" s="66" t="s">
        <v>60</v>
      </c>
      <c r="G39" s="60" t="s"/>
      <c r="H39" s="61" t="s"/>
      <c r="I39" s="61" t="s"/>
      <c r="J39" s="60" t="s"/>
      <c r="K39" s="62" t="s">
        <v>124</v>
      </c>
      <c r="L39" s="65" t="s">
        <v>76</v>
      </c>
      <c r="M39" s="60" t="s"/>
      <c r="N39" s="63" t="s">
        <v>303</v>
      </c>
      <c r="O39" s="67">
        <v>6.6</v>
      </c>
      <c r="P39" s="68">
        <v>6.14</v>
      </c>
      <c r="Q39" s="60" t="s"/>
      <c r="R39" s="60" t="s"/>
      <c r="S39" s="60" t="s"/>
      <c r="T39" s="60" t="s"/>
      <c r="U39" s="60" t="s"/>
      <c r="V39" s="60" t="s"/>
      <c r="W39" s="60" t="s"/>
      <c r="X39" s="60" t="s"/>
      <c r="Y39" s="60" t="s"/>
      <c r="Z39" s="60" t="s"/>
      <c r="AA39" s="60" t="s"/>
      <c r="AB39" s="60" t="s"/>
      <c r="AC39" s="60" t="s"/>
      <c r="AD39" s="60" t="s"/>
      <c r="AE39" s="60" t="s"/>
      <c r="AF39" s="60" t="s"/>
    </row>
    <row r="40" spans="1:32" ht="16.5" hidden="1">
      <c r="A40" s="64" t="s"/>
      <c r="B40" s="57" t="s">
        <v>125</v>
      </c>
      <c r="C40" s="58" t="s">
        <v>126</v>
      </c>
      <c r="D40" s="59">
        <v>148.01</v>
      </c>
      <c r="E40" s="60" t="s">
        <v>37</v>
      </c>
      <c r="F40" s="66" t="s">
        <v>60</v>
      </c>
      <c r="G40" s="60" t="s"/>
      <c r="H40" s="61" t="s"/>
      <c r="I40" s="61" t="s"/>
      <c r="J40" s="60" t="s"/>
      <c r="K40" s="62" t="s">
        <v>124</v>
      </c>
      <c r="L40" s="66" t="s">
        <v>76</v>
      </c>
      <c r="M40" s="60" t="s"/>
      <c r="N40" s="63">
        <v>6.5</v>
      </c>
      <c r="O40" s="69">
        <v>6.1</v>
      </c>
      <c r="P40" s="69" t="s"/>
      <c r="Q40" s="60" t="s"/>
      <c r="R40" s="60" t="s"/>
      <c r="S40" s="60" t="s"/>
      <c r="T40" s="60" t="s"/>
      <c r="U40" s="60" t="s"/>
      <c r="V40" s="60" t="s"/>
      <c r="W40" s="60" t="s"/>
      <c r="X40" s="60" t="s"/>
      <c r="Y40" s="60" t="s"/>
      <c r="Z40" s="60" t="s"/>
      <c r="AA40" s="60" t="s"/>
      <c r="AB40" s="60" t="s"/>
      <c r="AC40" s="60" t="s"/>
      <c r="AD40" s="60" t="s"/>
      <c r="AE40" s="60" t="s"/>
      <c r="AF40" s="60" t="s"/>
    </row>
    <row r="41" spans="1:32" ht="16.5" hidden="1">
      <c r="A41" s="64" t="s"/>
      <c r="B41" s="57" t="s">
        <v>127</v>
      </c>
      <c r="C41" s="58" t="s">
        <v>128</v>
      </c>
      <c r="D41" s="59">
        <v>65.3</v>
      </c>
      <c r="E41" s="60" t="s"/>
      <c r="F41" s="60" t="s"/>
      <c r="G41" s="60" t="s"/>
      <c r="H41" s="61" t="s"/>
      <c r="I41" s="61" t="s"/>
      <c r="J41" s="60" t="s"/>
      <c r="K41" s="62" t="s"/>
      <c r="L41" s="60" t="s"/>
      <c r="M41" s="60" t="s"/>
      <c r="N41" s="63" t="s"/>
      <c r="O41" s="61" t="s"/>
      <c r="P41" s="61" t="s"/>
      <c r="Q41" s="60" t="s"/>
      <c r="R41" s="60" t="s"/>
      <c r="S41" s="60" t="s"/>
      <c r="T41" s="60" t="s"/>
      <c r="U41" s="60" t="s"/>
      <c r="V41" s="60" t="s"/>
      <c r="W41" s="60" t="s"/>
      <c r="X41" s="60" t="s"/>
      <c r="Y41" s="60" t="s"/>
      <c r="Z41" s="60" t="s"/>
      <c r="AA41" s="60" t="s"/>
      <c r="AB41" s="60" t="s"/>
      <c r="AC41" s="60" t="s"/>
      <c r="AD41" s="60" t="s"/>
      <c r="AE41" s="60" t="s"/>
      <c r="AF41" s="60" t="s"/>
    </row>
    <row r="42" spans="1:32" ht="16.5" hidden="1">
      <c r="A42" s="64" t="s"/>
      <c r="B42" s="57" t="s">
        <v>129</v>
      </c>
      <c r="C42" s="58" t="s">
        <v>130</v>
      </c>
      <c r="D42" s="59">
        <v>140.42</v>
      </c>
      <c r="E42" s="60" t="s">
        <v>37</v>
      </c>
      <c r="F42" s="66" t="s">
        <v>60</v>
      </c>
      <c r="G42" s="66" t="s">
        <v>37</v>
      </c>
      <c r="H42" s="70" t="s"/>
      <c r="I42" s="70" t="s">
        <v>37</v>
      </c>
      <c r="J42" s="71">
        <v>46189</v>
      </c>
      <c r="K42" s="62" t="s">
        <v>124</v>
      </c>
      <c r="L42" s="65" t="s">
        <v>76</v>
      </c>
      <c r="M42" s="60" t="s"/>
      <c r="N42" s="72">
        <v>5.26</v>
      </c>
      <c r="O42" s="73">
        <v>6.8</v>
      </c>
      <c r="P42" s="68">
        <v>6.14</v>
      </c>
      <c r="Q42" s="65" t="s"/>
      <c r="R42" s="60" t="s"/>
      <c r="S42" s="60" t="s"/>
      <c r="T42" s="60" t="s"/>
      <c r="U42" s="60" t="s"/>
      <c r="V42" s="60" t="s"/>
      <c r="W42" s="60" t="s"/>
      <c r="X42" s="60" t="s"/>
      <c r="Y42" s="60" t="s"/>
      <c r="Z42" s="60" t="s"/>
      <c r="AA42" s="60" t="s"/>
      <c r="AB42" s="60" t="s"/>
      <c r="AC42" s="60" t="s"/>
      <c r="AD42" s="60" t="s"/>
      <c r="AE42" s="60" t="s"/>
      <c r="AF42" s="60" t="s"/>
    </row>
    <row r="43" spans="1:32" ht="16.5" hidden="1">
      <c r="A43" s="64" t="s"/>
      <c r="B43" s="57" t="s">
        <v>131</v>
      </c>
      <c r="C43" s="58" t="s">
        <v>132</v>
      </c>
      <c r="D43" s="59">
        <v>99.41</v>
      </c>
      <c r="E43" s="60" t="s">
        <v>37</v>
      </c>
      <c r="F43" s="66" t="s">
        <v>60</v>
      </c>
      <c r="G43" s="66" t="s">
        <v>37</v>
      </c>
      <c r="H43" s="70" t="s"/>
      <c r="I43" s="70" t="s">
        <v>37</v>
      </c>
      <c r="J43" s="71">
        <v>46190</v>
      </c>
      <c r="K43" s="62" t="s">
        <v>133</v>
      </c>
      <c r="L43" s="66" t="s">
        <v>76</v>
      </c>
      <c r="M43" s="60" t="s"/>
      <c r="N43" s="63" t="s">
        <v>300</v>
      </c>
      <c r="O43" s="69">
        <v>6.1</v>
      </c>
      <c r="P43" s="68">
        <v>6.15</v>
      </c>
      <c r="Q43" s="66" t="s">
        <v>37</v>
      </c>
      <c r="R43" s="60" t="s"/>
      <c r="S43" s="60" t="s"/>
      <c r="T43" s="60" t="s"/>
      <c r="U43" s="60" t="s"/>
      <c r="V43" s="60" t="s"/>
      <c r="W43" s="60" t="s"/>
      <c r="X43" s="60" t="s"/>
      <c r="Y43" s="60" t="s"/>
      <c r="Z43" s="60" t="s"/>
      <c r="AA43" s="60" t="s"/>
      <c r="AB43" s="60" t="s"/>
      <c r="AC43" s="60" t="s"/>
      <c r="AD43" s="60" t="s"/>
      <c r="AE43" s="60" t="s"/>
      <c r="AF43" s="60" t="s"/>
    </row>
    <row r="44" spans="1:32" ht="16.5" hidden="1">
      <c r="A44" s="64" t="s"/>
      <c r="B44" s="57" t="s">
        <v>134</v>
      </c>
      <c r="C44" s="58" t="s">
        <v>135</v>
      </c>
      <c r="D44" s="59">
        <v>70.39</v>
      </c>
      <c r="E44" s="60" t="s"/>
      <c r="F44" s="60" t="s"/>
      <c r="G44" s="60" t="s"/>
      <c r="H44" s="61" t="s"/>
      <c r="I44" s="61" t="s"/>
      <c r="J44" s="60" t="s"/>
      <c r="K44" s="62" t="s"/>
      <c r="L44" s="60" t="s"/>
      <c r="M44" s="60" t="s"/>
      <c r="N44" s="63" t="s"/>
      <c r="O44" s="61" t="s"/>
      <c r="P44" s="61" t="s"/>
      <c r="Q44" s="60" t="s"/>
      <c r="R44" s="60" t="s"/>
      <c r="S44" s="60" t="s"/>
      <c r="T44" s="60" t="s"/>
      <c r="U44" s="60" t="s"/>
      <c r="V44" s="60" t="s"/>
      <c r="W44" s="60" t="s"/>
      <c r="X44" s="60" t="s"/>
      <c r="Y44" s="60" t="s"/>
      <c r="Z44" s="60" t="s"/>
      <c r="AA44" s="60" t="s"/>
      <c r="AB44" s="60" t="s"/>
      <c r="AC44" s="60" t="s"/>
      <c r="AD44" s="60" t="s"/>
      <c r="AE44" s="60" t="s"/>
      <c r="AF44" s="60" t="s"/>
    </row>
    <row r="45" spans="1:32" ht="16.5" hidden="1">
      <c r="A45" s="64" t="s"/>
      <c r="B45" s="57" t="s">
        <v>136</v>
      </c>
      <c r="C45" s="58" t="s">
        <v>137</v>
      </c>
      <c r="D45" s="59">
        <v>154.85</v>
      </c>
      <c r="E45" s="66" t="s">
        <v>121</v>
      </c>
      <c r="F45" s="65" t="s">
        <v>121</v>
      </c>
      <c r="G45" s="60" t="s"/>
      <c r="H45" s="61" t="s"/>
      <c r="I45" s="61" t="s"/>
      <c r="J45" s="60" t="s"/>
      <c r="K45" s="62" t="s"/>
      <c r="L45" s="60" t="s"/>
      <c r="M45" s="60" t="s"/>
      <c r="N45" s="63" t="s"/>
      <c r="O45" s="61" t="s"/>
      <c r="P45" s="61" t="s"/>
      <c r="Q45" s="60" t="s"/>
      <c r="R45" s="60" t="s"/>
      <c r="S45" s="60" t="s"/>
      <c r="T45" s="60" t="s"/>
      <c r="U45" s="60" t="s"/>
      <c r="V45" s="74" t="s"/>
      <c r="W45" s="60" t="s"/>
      <c r="X45" s="60" t="s"/>
      <c r="Y45" s="60" t="s"/>
      <c r="Z45" s="60" t="s"/>
      <c r="AA45" s="60" t="s"/>
      <c r="AB45" s="60" t="s"/>
      <c r="AC45" s="60" t="s"/>
      <c r="AD45" s="60" t="s"/>
      <c r="AE45" s="60" t="s"/>
      <c r="AF45" s="60" t="s"/>
    </row>
    <row r="46" spans="1:32" ht="16.5" hidden="1">
      <c r="A46" s="64" t="s"/>
      <c r="B46" s="57" t="s">
        <v>138</v>
      </c>
      <c r="C46" s="58" t="s">
        <v>139</v>
      </c>
      <c r="D46" s="59">
        <v>95.24</v>
      </c>
      <c r="E46" s="60" t="s"/>
      <c r="F46" s="60" t="s"/>
      <c r="G46" s="60" t="s"/>
      <c r="H46" s="61" t="s"/>
      <c r="I46" s="61" t="s"/>
      <c r="J46" s="60" t="s"/>
      <c r="K46" s="62" t="s"/>
      <c r="L46" s="60" t="s"/>
      <c r="M46" s="60" t="s"/>
      <c r="N46" s="63" t="s"/>
      <c r="O46" s="61" t="s"/>
      <c r="P46" s="61" t="s"/>
      <c r="Q46" s="60" t="s"/>
      <c r="R46" s="60" t="s"/>
      <c r="S46" s="60" t="s"/>
      <c r="T46" s="60" t="s"/>
      <c r="U46" s="60" t="s"/>
      <c r="V46" s="60" t="s"/>
      <c r="W46" s="60" t="s"/>
      <c r="X46" s="60" t="s"/>
      <c r="Y46" s="60" t="s"/>
      <c r="Z46" s="60" t="s"/>
      <c r="AA46" s="60" t="s"/>
      <c r="AB46" s="60" t="s"/>
      <c r="AC46" s="60" t="s"/>
      <c r="AD46" s="60" t="s"/>
      <c r="AE46" s="60" t="s"/>
      <c r="AF46" s="60" t="s"/>
    </row>
    <row r="47" spans="1:32" ht="16.5" hidden="1">
      <c r="A47" s="64" t="s"/>
      <c r="B47" s="57" t="s">
        <v>140</v>
      </c>
      <c r="C47" s="58" t="s">
        <v>141</v>
      </c>
      <c r="D47" s="59">
        <v>66.45</v>
      </c>
      <c r="E47" s="75">
        <v>6.15</v>
      </c>
      <c r="F47" s="66" t="s">
        <v>86</v>
      </c>
      <c r="G47" s="60" t="s"/>
      <c r="H47" s="61" t="s"/>
      <c r="I47" s="61" t="s"/>
      <c r="J47" s="60" t="s"/>
      <c r="K47" s="62" t="s"/>
      <c r="L47" s="60" t="s"/>
      <c r="M47" s="60" t="s"/>
      <c r="N47" s="63" t="s"/>
      <c r="O47" s="61" t="s"/>
      <c r="P47" s="61" t="s"/>
      <c r="Q47" s="60" t="s"/>
      <c r="R47" s="60" t="s"/>
      <c r="S47" s="60" t="s"/>
      <c r="T47" s="60" t="s"/>
      <c r="U47" s="60" t="s"/>
      <c r="V47" s="60" t="s"/>
      <c r="W47" s="60" t="s"/>
      <c r="X47" s="60" t="s"/>
      <c r="Y47" s="60" t="s"/>
      <c r="Z47" s="60" t="s"/>
      <c r="AA47" s="60" t="s"/>
      <c r="AB47" s="60" t="s"/>
      <c r="AC47" s="60" t="s"/>
      <c r="AD47" s="60" t="s"/>
      <c r="AE47" s="60" t="s"/>
      <c r="AF47" s="60" t="s"/>
    </row>
    <row r="48" spans="1:32" ht="16.5" hidden="1">
      <c r="A48" s="64" t="s"/>
      <c r="B48" s="57" t="s">
        <v>142</v>
      </c>
      <c r="C48" s="58" t="s">
        <v>143</v>
      </c>
      <c r="D48" s="59">
        <v>84.65</v>
      </c>
      <c r="E48" s="76" t="s">
        <v>37</v>
      </c>
      <c r="F48" s="66" t="s">
        <v>38</v>
      </c>
      <c r="G48" s="60" t="s"/>
      <c r="H48" s="61" t="s"/>
      <c r="I48" s="61" t="s"/>
      <c r="J48" s="60" t="s"/>
      <c r="K48" s="62" t="s"/>
      <c r="L48" s="60" t="s"/>
      <c r="M48" s="60" t="s"/>
      <c r="N48" s="63">
        <v>6.5</v>
      </c>
      <c r="O48" s="67">
        <v>6.12</v>
      </c>
      <c r="P48" s="67">
        <v>6.18</v>
      </c>
      <c r="Q48" s="60" t="s"/>
      <c r="R48" s="60" t="s"/>
      <c r="S48" s="60" t="s"/>
      <c r="T48" s="60" t="s"/>
      <c r="U48" s="60" t="s"/>
      <c r="V48" s="60" t="s"/>
      <c r="W48" s="60" t="s"/>
      <c r="X48" s="60" t="s"/>
      <c r="Y48" s="60" t="s"/>
      <c r="Z48" s="60" t="s"/>
      <c r="AA48" s="60" t="s"/>
      <c r="AB48" s="60" t="s"/>
      <c r="AC48" s="60" t="s"/>
      <c r="AD48" s="60" t="s"/>
      <c r="AE48" s="60" t="s"/>
      <c r="AF48" s="60" t="s"/>
    </row>
    <row r="49" spans="1:32" ht="16.5" hidden="1">
      <c r="A49" s="64" t="s"/>
      <c r="B49" s="57" t="s">
        <v>144</v>
      </c>
      <c r="C49" s="58" t="s">
        <v>145</v>
      </c>
      <c r="D49" s="59">
        <v>84.47</v>
      </c>
      <c r="E49" s="65" t="s">
        <v>121</v>
      </c>
      <c r="F49" s="65" t="s">
        <v>121</v>
      </c>
      <c r="G49" s="60" t="s"/>
      <c r="H49" s="61" t="s"/>
      <c r="I49" s="61" t="s"/>
      <c r="J49" s="60" t="s"/>
      <c r="K49" s="62" t="s"/>
      <c r="L49" s="60" t="s"/>
      <c r="M49" s="60" t="s"/>
      <c r="N49" s="63" t="s"/>
      <c r="O49" s="61" t="s"/>
      <c r="P49" s="61" t="s"/>
      <c r="Q49" s="60" t="s"/>
      <c r="R49" s="60" t="s"/>
      <c r="S49" s="60" t="s"/>
      <c r="T49" s="60" t="s"/>
      <c r="U49" s="60" t="s"/>
      <c r="V49" s="60" t="s"/>
      <c r="W49" s="60" t="s"/>
      <c r="X49" s="60" t="s"/>
      <c r="Y49" s="60" t="s"/>
      <c r="Z49" s="60" t="s"/>
      <c r="AA49" s="60" t="s"/>
      <c r="AB49" s="60" t="s"/>
      <c r="AC49" s="60" t="s"/>
      <c r="AD49" s="60" t="s"/>
      <c r="AE49" s="60" t="s"/>
      <c r="AF49" s="60" t="s"/>
    </row>
    <row r="50" spans="1:32" ht="16.5" hidden="1">
      <c r="A50" s="64" t="s"/>
      <c r="B50" s="57" t="s">
        <v>146</v>
      </c>
      <c r="C50" s="58" t="s">
        <v>147</v>
      </c>
      <c r="D50" s="59">
        <v>62.25</v>
      </c>
      <c r="E50" s="60" t="s"/>
      <c r="F50" s="60" t="s"/>
      <c r="G50" s="60" t="s"/>
      <c r="H50" s="61" t="s"/>
      <c r="I50" s="61" t="s"/>
      <c r="J50" s="60" t="s"/>
      <c r="K50" s="62" t="s"/>
      <c r="L50" s="60" t="s"/>
      <c r="M50" s="60" t="s"/>
      <c r="N50" s="63" t="s"/>
      <c r="O50" s="61" t="s"/>
      <c r="P50" s="61" t="s"/>
      <c r="Q50" s="60" t="s"/>
      <c r="R50" s="60" t="s"/>
      <c r="S50" s="60" t="s"/>
      <c r="T50" s="60" t="s"/>
      <c r="U50" s="60" t="s"/>
      <c r="V50" s="60" t="s"/>
      <c r="W50" s="60" t="s"/>
      <c r="X50" s="60" t="s"/>
      <c r="Y50" s="60" t="s"/>
      <c r="Z50" s="60" t="s"/>
      <c r="AA50" s="60" t="s"/>
      <c r="AB50" s="60" t="s"/>
      <c r="AC50" s="60" t="s"/>
      <c r="AD50" s="60" t="s"/>
      <c r="AE50" s="60" t="s"/>
      <c r="AF50" s="60" t="s"/>
    </row>
    <row r="51" spans="1:32" ht="16.5" hidden="1">
      <c r="A51" s="64" t="s"/>
      <c r="B51" s="57" t="s">
        <v>148</v>
      </c>
      <c r="C51" s="58" t="s">
        <v>149</v>
      </c>
      <c r="D51" s="59">
        <v>95.3</v>
      </c>
      <c r="E51" s="66" t="s">
        <v>37</v>
      </c>
      <c r="F51" s="66" t="s">
        <v>60</v>
      </c>
      <c r="G51" s="60" t="s"/>
      <c r="H51" s="61" t="s"/>
      <c r="I51" s="61" t="s"/>
      <c r="J51" s="60" t="s"/>
      <c r="K51" s="62" t="s">
        <v>150</v>
      </c>
      <c r="L51" s="65" t="s">
        <v>76</v>
      </c>
      <c r="M51" s="60" t="s"/>
      <c r="N51" s="63" t="s">
        <v>303</v>
      </c>
      <c r="O51" s="67">
        <v>6.5</v>
      </c>
      <c r="P51" s="68">
        <v>6.15</v>
      </c>
      <c r="Q51" s="60" t="s"/>
      <c r="R51" s="60" t="s"/>
      <c r="S51" s="60" t="s"/>
      <c r="T51" s="60" t="s"/>
      <c r="U51" s="60" t="s"/>
      <c r="V51" s="60" t="s"/>
      <c r="W51" s="60" t="s"/>
      <c r="X51" s="60" t="s"/>
      <c r="Y51" s="60" t="s"/>
      <c r="Z51" s="60" t="s"/>
      <c r="AA51" s="60" t="s"/>
      <c r="AB51" s="60" t="s"/>
      <c r="AC51" s="60" t="s"/>
      <c r="AD51" s="60" t="s"/>
      <c r="AE51" s="60" t="s"/>
      <c r="AF51" s="60" t="s"/>
    </row>
    <row r="52" spans="1:32" ht="16.5" hidden="1">
      <c r="A52" s="64" t="s"/>
      <c r="B52" s="57" t="s">
        <v>151</v>
      </c>
      <c r="C52" s="58" t="s">
        <v>152</v>
      </c>
      <c r="D52" s="59">
        <v>14.51</v>
      </c>
      <c r="E52" s="66" t="s">
        <v>37</v>
      </c>
      <c r="F52" s="66" t="s">
        <v>60</v>
      </c>
      <c r="G52" s="60" t="s"/>
      <c r="H52" s="61" t="s"/>
      <c r="I52" s="61" t="s"/>
      <c r="J52" s="60" t="s"/>
      <c r="K52" s="62" t="s">
        <v>105</v>
      </c>
      <c r="L52" s="65" t="s">
        <v>76</v>
      </c>
      <c r="M52" s="60" t="s"/>
      <c r="N52" s="63">
        <v>6.12</v>
      </c>
      <c r="O52" s="69">
        <v>6.18</v>
      </c>
      <c r="P52" s="69">
        <v>6.25</v>
      </c>
      <c r="Q52" s="60" t="s"/>
      <c r="R52" s="60" t="s"/>
      <c r="S52" s="60" t="s"/>
      <c r="T52" s="60" t="s"/>
      <c r="U52" s="60" t="s"/>
      <c r="V52" s="60" t="s"/>
      <c r="W52" s="60" t="s"/>
      <c r="X52" s="60" t="s"/>
      <c r="Y52" s="60" t="s"/>
      <c r="Z52" s="60" t="s"/>
      <c r="AA52" s="60" t="s"/>
      <c r="AB52" s="60" t="s"/>
      <c r="AC52" s="60" t="s"/>
      <c r="AD52" s="60" t="s"/>
      <c r="AE52" s="60" t="s"/>
      <c r="AF52" s="60" t="s"/>
    </row>
    <row r="53" spans="1:32" ht="16.5" hidden="1">
      <c r="A53" s="64" t="s"/>
      <c r="B53" s="57" t="s">
        <v>153</v>
      </c>
      <c r="C53" s="58" t="s">
        <v>154</v>
      </c>
      <c r="D53" s="59">
        <v>10.82</v>
      </c>
      <c r="E53" s="66" t="s">
        <v>37</v>
      </c>
      <c r="F53" s="66" t="s">
        <v>60</v>
      </c>
      <c r="G53" s="60" t="s"/>
      <c r="H53" s="61" t="s"/>
      <c r="I53" s="61" t="s"/>
      <c r="J53" s="60" t="s"/>
      <c r="K53" s="62" t="s"/>
      <c r="L53" s="60" t="s"/>
      <c r="M53" s="60" t="s"/>
      <c r="N53" s="63" t="s"/>
      <c r="O53" s="69" t="s"/>
      <c r="P53" s="69" t="s"/>
      <c r="Q53" s="60" t="s"/>
      <c r="R53" s="60" t="s"/>
      <c r="S53" s="60" t="s"/>
      <c r="T53" s="60" t="s"/>
      <c r="U53" s="60" t="s"/>
      <c r="V53" s="60" t="s"/>
      <c r="W53" s="60" t="s"/>
      <c r="X53" s="60" t="s"/>
      <c r="Y53" s="60" t="s"/>
      <c r="Z53" s="60" t="s"/>
      <c r="AA53" s="60" t="s"/>
      <c r="AB53" s="60" t="s"/>
      <c r="AC53" s="60" t="s"/>
      <c r="AD53" s="60" t="s"/>
      <c r="AE53" s="60" t="s"/>
      <c r="AF53" s="60" t="s"/>
    </row>
    <row r="54" spans="1:32" ht="16.5" hidden="1">
      <c r="A54" s="64" t="s"/>
      <c r="B54" s="77" t="s">
        <v>155</v>
      </c>
      <c r="C54" s="58" t="s">
        <v>156</v>
      </c>
      <c r="D54" s="59">
        <v>51.57</v>
      </c>
      <c r="E54" s="75">
        <v>6.3</v>
      </c>
      <c r="F54" s="65" t="s">
        <v>86</v>
      </c>
      <c r="G54" s="60" t="s"/>
      <c r="H54" s="61" t="s"/>
      <c r="I54" s="61" t="s"/>
      <c r="J54" s="60" t="s"/>
      <c r="K54" s="62" t="s"/>
      <c r="L54" s="60" t="s"/>
      <c r="M54" s="60" t="s"/>
      <c r="N54" s="63" t="s"/>
      <c r="O54" s="61" t="s"/>
      <c r="P54" s="61" t="s"/>
      <c r="Q54" s="60" t="s"/>
      <c r="R54" s="60" t="s"/>
      <c r="S54" s="60" t="s"/>
      <c r="T54" s="60" t="s"/>
      <c r="U54" s="60" t="s"/>
      <c r="V54" s="60" t="s"/>
      <c r="W54" s="60" t="s"/>
      <c r="X54" s="60" t="s"/>
      <c r="Y54" s="60" t="s"/>
      <c r="Z54" s="60" t="s"/>
      <c r="AA54" s="60" t="s"/>
      <c r="AB54" s="60" t="s"/>
      <c r="AC54" s="60" t="s"/>
      <c r="AD54" s="60" t="s"/>
      <c r="AE54" s="60" t="s"/>
      <c r="AF54" s="60" t="s"/>
    </row>
    <row r="55" spans="1:32" ht="16.5" hidden="1">
      <c r="A55" s="64" t="s"/>
      <c r="B55" s="57" t="s">
        <v>157</v>
      </c>
      <c r="C55" s="58" t="s">
        <v>158</v>
      </c>
      <c r="D55" s="59">
        <v>130.74</v>
      </c>
      <c r="E55" s="75">
        <v>6.5</v>
      </c>
      <c r="F55" s="78" t="s">
        <v>75</v>
      </c>
      <c r="G55" s="60" t="s"/>
      <c r="H55" s="61" t="s"/>
      <c r="I55" s="61" t="s"/>
      <c r="J55" s="60" t="s"/>
      <c r="K55" s="62" t="s"/>
      <c r="L55" s="60" t="s"/>
      <c r="M55" s="60" t="s"/>
      <c r="N55" s="63" t="s"/>
      <c r="O55" s="61" t="s"/>
      <c r="P55" s="61" t="s"/>
      <c r="Q55" s="60" t="s"/>
      <c r="R55" s="60" t="s"/>
      <c r="S55" s="60" t="s"/>
      <c r="T55" s="60" t="s"/>
      <c r="U55" s="60" t="s"/>
      <c r="V55" s="60" t="s"/>
      <c r="W55" s="60" t="s"/>
      <c r="X55" s="60" t="s"/>
      <c r="Y55" s="60" t="s"/>
      <c r="Z55" s="60" t="s"/>
      <c r="AA55" s="60" t="s"/>
      <c r="AB55" s="60" t="s"/>
      <c r="AC55" s="60" t="s"/>
      <c r="AD55" s="60" t="s"/>
      <c r="AE55" s="60" t="s"/>
      <c r="AF55" s="60" t="s"/>
    </row>
    <row r="56" spans="1:32" ht="16.5">
      <c r="A56" s="79" t="s"/>
      <c r="B56" s="80" t="s">
        <v>159</v>
      </c>
      <c r="C56" s="81" t="s">
        <v>160</v>
      </c>
      <c r="D56" s="82">
        <v>107.67</v>
      </c>
      <c r="E56" s="67" t="s">
        <v>37</v>
      </c>
      <c r="F56" s="73" t="s">
        <v>86</v>
      </c>
      <c r="G56" s="67" t="s">
        <v>161</v>
      </c>
      <c r="H56" s="61" t="s"/>
      <c r="I56" s="70" t="s">
        <v>37</v>
      </c>
      <c r="J56" s="61" t="s"/>
      <c r="K56" s="62" t="s"/>
      <c r="L56" s="73" t="s">
        <v>76</v>
      </c>
      <c r="M56" s="61" t="s"/>
      <c r="N56" s="63" t="s"/>
      <c r="O56" s="61" t="s"/>
      <c r="P56" s="61" t="s"/>
      <c r="Q56" s="61" t="s"/>
      <c r="R56" s="61" t="s"/>
      <c r="S56" s="61" t="s"/>
      <c r="T56" s="61" t="s"/>
      <c r="U56" s="61" t="s"/>
      <c r="V56" s="61" t="s"/>
      <c r="W56" s="61" t="s"/>
      <c r="X56" s="61" t="s"/>
      <c r="Y56" s="61" t="s"/>
      <c r="Z56" s="61" t="s"/>
      <c r="AA56" s="61" t="s"/>
      <c r="AB56" s="61" t="s"/>
      <c r="AC56" s="61" t="s"/>
      <c r="AD56" s="61" t="s"/>
      <c r="AE56" s="61" t="s"/>
      <c r="AF56" s="61" t="s"/>
    </row>
    <row r="57" spans="1:32" ht="16.5" hidden="1">
      <c r="A57" s="64" t="s"/>
      <c r="B57" s="77" t="s">
        <v>162</v>
      </c>
      <c r="C57" s="58" t="s">
        <v>163</v>
      </c>
      <c r="D57" s="83">
        <v>86.48</v>
      </c>
      <c r="E57" s="66" t="s">
        <v>37</v>
      </c>
      <c r="F57" s="66" t="s">
        <v>60</v>
      </c>
      <c r="G57" s="60" t="s"/>
      <c r="H57" s="61" t="s"/>
      <c r="I57" s="61" t="s"/>
      <c r="J57" s="60" t="s"/>
      <c r="K57" s="62" t="s"/>
      <c r="L57" s="60" t="s"/>
      <c r="M57" s="60" t="s"/>
      <c r="N57" s="63" t="s"/>
      <c r="O57" s="61" t="s"/>
      <c r="P57" s="61" t="s"/>
      <c r="Q57" s="60" t="s"/>
      <c r="R57" s="60" t="s"/>
      <c r="S57" s="60" t="s"/>
      <c r="T57" s="60" t="s"/>
      <c r="U57" s="60" t="s"/>
      <c r="V57" s="60" t="s"/>
      <c r="W57" s="60" t="s"/>
      <c r="X57" s="60" t="s"/>
      <c r="Y57" s="60" t="s"/>
      <c r="Z57" s="60" t="s"/>
      <c r="AA57" s="60" t="s"/>
      <c r="AB57" s="60" t="s"/>
      <c r="AC57" s="60" t="s"/>
      <c r="AD57" s="60" t="s"/>
      <c r="AE57" s="60" t="s"/>
      <c r="AF57" s="60" t="s"/>
    </row>
    <row r="58" spans="1:32" ht="16.5">
      <c r="A58" s="64" t="s"/>
      <c r="B58" s="57" t="s">
        <v>164</v>
      </c>
      <c r="C58" s="58" t="s">
        <v>165</v>
      </c>
      <c r="D58" s="59">
        <v>287.56</v>
      </c>
      <c r="E58" s="66" t="s">
        <v>37</v>
      </c>
      <c r="F58" s="78" t="s">
        <v>75</v>
      </c>
      <c r="G58" s="78" t="s">
        <v>166</v>
      </c>
      <c r="H58" s="70" t="s"/>
      <c r="I58" s="70" t="s">
        <v>37</v>
      </c>
      <c r="J58" s="71">
        <v>46189</v>
      </c>
      <c r="K58" s="62" t="s">
        <v>167</v>
      </c>
      <c r="L58" s="66" t="s">
        <v>76</v>
      </c>
      <c r="M58" s="60" t="s"/>
      <c r="N58" s="72" t="s">
        <v>168</v>
      </c>
      <c r="O58" s="73" t="s">
        <v>302</v>
      </c>
      <c r="P58" s="73">
        <v>6.11</v>
      </c>
      <c r="Q58" s="65" t="s">
        <v>37</v>
      </c>
      <c r="R58" s="60" t="s"/>
      <c r="S58" s="60" t="s"/>
      <c r="T58" s="60" t="s"/>
      <c r="U58" s="60" t="s"/>
      <c r="V58" s="60" t="s"/>
      <c r="W58" s="60" t="s"/>
      <c r="X58" s="60" t="s"/>
      <c r="Y58" s="60" t="s"/>
      <c r="Z58" s="60" t="s"/>
      <c r="AA58" s="60" t="s"/>
      <c r="AB58" s="60" t="s"/>
      <c r="AC58" s="60" t="s"/>
      <c r="AD58" s="60" t="s"/>
      <c r="AE58" s="60" t="s"/>
      <c r="AF58" s="60" t="s"/>
    </row>
    <row r="59" spans="1:32" ht="16.5" hidden="1">
      <c r="A59" s="64" t="s"/>
      <c r="B59" s="57" t="s">
        <v>169</v>
      </c>
      <c r="C59" s="84" t="s">
        <v>170</v>
      </c>
      <c r="D59" s="83">
        <v>27.87</v>
      </c>
      <c r="E59" s="66" t="s">
        <v>37</v>
      </c>
      <c r="F59" s="66" t="s">
        <v>44</v>
      </c>
      <c r="G59" s="66" t="s">
        <v>166</v>
      </c>
      <c r="H59" s="85" t="s"/>
      <c r="I59" s="70" t="s">
        <v>37</v>
      </c>
      <c r="J59" s="86">
        <v>46189</v>
      </c>
      <c r="K59" s="62" t="s">
        <v>296</v>
      </c>
      <c r="L59" s="66" t="s">
        <v>297</v>
      </c>
      <c r="M59" s="60" t="s"/>
      <c r="N59" s="63" t="s">
        <v>304</v>
      </c>
      <c r="O59" s="67">
        <v>6.9</v>
      </c>
      <c r="P59" s="67">
        <v>6.15</v>
      </c>
      <c r="Q59" s="60" t="s"/>
      <c r="R59" s="60" t="s"/>
      <c r="S59" s="60" t="s"/>
      <c r="T59" s="60" t="s"/>
      <c r="U59" s="60" t="s"/>
      <c r="V59" s="60" t="s"/>
      <c r="W59" s="60" t="s"/>
      <c r="X59" s="60" t="s"/>
      <c r="Y59" s="60" t="s"/>
      <c r="Z59" s="60" t="s"/>
      <c r="AA59" s="60" t="s"/>
      <c r="AB59" s="60" t="s"/>
      <c r="AC59" s="60" t="s"/>
      <c r="AD59" s="60" t="s"/>
      <c r="AE59" s="60" t="s"/>
      <c r="AF59" s="60" t="s"/>
    </row>
    <row r="60" spans="1:32" ht="16.5" hidden="1">
      <c r="A60" s="64" t="s"/>
      <c r="B60" s="83" t="s">
        <v>171</v>
      </c>
      <c r="C60" s="87" t="s">
        <v>172</v>
      </c>
      <c r="D60" s="57">
        <v>4</v>
      </c>
      <c r="E60" s="66" t="s">
        <v>121</v>
      </c>
      <c r="F60" s="66" t="s">
        <v>121</v>
      </c>
      <c r="G60" s="66" t="s">
        <v>121</v>
      </c>
      <c r="H60" s="67" t="s">
        <v>121</v>
      </c>
      <c r="I60" s="67" t="s">
        <v>121</v>
      </c>
      <c r="J60" s="66" t="s">
        <v>121</v>
      </c>
      <c r="K60" s="67" t="s">
        <v>121</v>
      </c>
      <c r="L60" s="66" t="s">
        <v>121</v>
      </c>
      <c r="M60" s="66" t="s">
        <v>121</v>
      </c>
      <c r="N60" s="67" t="s">
        <v>121</v>
      </c>
      <c r="O60" s="67" t="s">
        <v>121</v>
      </c>
      <c r="P60" s="67" t="s">
        <v>121</v>
      </c>
      <c r="Q60" s="66" t="s">
        <v>121</v>
      </c>
      <c r="R60" s="66" t="s">
        <v>121</v>
      </c>
      <c r="S60" s="66" t="s">
        <v>121</v>
      </c>
      <c r="T60" s="66" t="s">
        <v>121</v>
      </c>
      <c r="U60" s="66" t="s">
        <v>121</v>
      </c>
      <c r="V60" s="66" t="s">
        <v>121</v>
      </c>
      <c r="W60" s="66" t="s">
        <v>121</v>
      </c>
      <c r="X60" s="66" t="s">
        <v>121</v>
      </c>
      <c r="Y60" s="66" t="s">
        <v>121</v>
      </c>
      <c r="Z60" s="66" t="s">
        <v>121</v>
      </c>
      <c r="AA60" s="66" t="s">
        <v>121</v>
      </c>
      <c r="AB60" s="60" t="s"/>
      <c r="AC60" s="66" t="s"/>
      <c r="AD60" s="76" t="s"/>
      <c r="AE60" s="76" t="s"/>
      <c r="AF60" s="76" t="s"/>
    </row>
    <row r="61" spans="1:32" ht="16.5" hidden="1">
      <c r="A61" s="64" t="s"/>
      <c r="B61" s="59" t="s">
        <v>173</v>
      </c>
      <c r="C61" s="88" t="s">
        <v>174</v>
      </c>
      <c r="D61" s="57">
        <v>2.84</v>
      </c>
      <c r="E61" s="65" t="s">
        <v>121</v>
      </c>
      <c r="F61" s="65" t="s">
        <v>121</v>
      </c>
      <c r="G61" s="65" t="s">
        <v>121</v>
      </c>
      <c r="H61" s="73" t="s">
        <v>121</v>
      </c>
      <c r="I61" s="73" t="s">
        <v>121</v>
      </c>
      <c r="J61" s="65" t="s">
        <v>121</v>
      </c>
      <c r="K61" s="73" t="s">
        <v>121</v>
      </c>
      <c r="L61" s="65" t="s">
        <v>121</v>
      </c>
      <c r="M61" s="65" t="s">
        <v>121</v>
      </c>
      <c r="N61" s="73" t="s">
        <v>121</v>
      </c>
      <c r="O61" s="73" t="s">
        <v>121</v>
      </c>
      <c r="P61" s="73" t="s">
        <v>121</v>
      </c>
      <c r="Q61" s="65" t="s">
        <v>121</v>
      </c>
      <c r="R61" s="65" t="s">
        <v>121</v>
      </c>
      <c r="S61" s="65" t="s">
        <v>121</v>
      </c>
      <c r="T61" s="65" t="s">
        <v>121</v>
      </c>
      <c r="U61" s="65" t="s">
        <v>121</v>
      </c>
      <c r="V61" s="65" t="s">
        <v>121</v>
      </c>
      <c r="W61" s="65" t="s">
        <v>121</v>
      </c>
      <c r="X61" s="65" t="s">
        <v>121</v>
      </c>
      <c r="Y61" s="65" t="s">
        <v>121</v>
      </c>
      <c r="Z61" s="65" t="s">
        <v>121</v>
      </c>
      <c r="AA61" s="65" t="s">
        <v>121</v>
      </c>
      <c r="AB61" s="60" t="s"/>
      <c r="AC61" s="60" t="s"/>
      <c r="AD61" s="60" t="s"/>
      <c r="AE61" s="60" t="s"/>
      <c r="AF61" s="60" t="s"/>
    </row>
    <row r="62" spans="1:32" ht="16.5" hidden="1">
      <c r="A62" s="89" t="s"/>
      <c r="B62" s="83" t="s">
        <v>173</v>
      </c>
      <c r="C62" s="88" t="s">
        <v>175</v>
      </c>
      <c r="D62" s="57">
        <v>4</v>
      </c>
      <c r="E62" s="65" t="s">
        <v>121</v>
      </c>
      <c r="F62" s="65" t="s">
        <v>121</v>
      </c>
      <c r="G62" s="65" t="s">
        <v>121</v>
      </c>
      <c r="H62" s="73" t="s">
        <v>121</v>
      </c>
      <c r="I62" s="73" t="s">
        <v>121</v>
      </c>
      <c r="J62" s="65" t="s">
        <v>121</v>
      </c>
      <c r="K62" s="73" t="s">
        <v>121</v>
      </c>
      <c r="L62" s="65" t="s">
        <v>121</v>
      </c>
      <c r="M62" s="65" t="s">
        <v>121</v>
      </c>
      <c r="N62" s="73" t="s">
        <v>121</v>
      </c>
      <c r="O62" s="73" t="s">
        <v>121</v>
      </c>
      <c r="P62" s="73" t="s">
        <v>121</v>
      </c>
      <c r="Q62" s="65" t="s">
        <v>121</v>
      </c>
      <c r="R62" s="65" t="s">
        <v>121</v>
      </c>
      <c r="S62" s="65" t="s">
        <v>121</v>
      </c>
      <c r="T62" s="65" t="s">
        <v>121</v>
      </c>
      <c r="U62" s="65" t="s">
        <v>121</v>
      </c>
      <c r="V62" s="65" t="s">
        <v>121</v>
      </c>
      <c r="W62" s="65" t="s">
        <v>121</v>
      </c>
      <c r="X62" s="65" t="s">
        <v>121</v>
      </c>
      <c r="Y62" s="65" t="s">
        <v>121</v>
      </c>
      <c r="Z62" s="65" t="s">
        <v>121</v>
      </c>
      <c r="AA62" s="65" t="s">
        <v>121</v>
      </c>
      <c r="AB62" s="86">
        <v>46220</v>
      </c>
      <c r="AC62" s="60" t="s"/>
      <c r="AD62" s="60" t="s"/>
      <c r="AE62" s="60" t="s"/>
      <c r="AF62" s="60" t="s"/>
    </row>
    <row r="63" spans="2:32" ht="16.5">
      <c r="B63" s="90" t="s"/>
      <c r="C63" s="90" t="s"/>
      <c r="D63" s="90" t="s"/>
      <c r="E63" s="90" t="s"/>
      <c r="F63" s="90" t="s"/>
      <c r="G63" s="90" t="s"/>
      <c r="H63" s="91" t="s"/>
      <c r="I63" s="91" t="s"/>
      <c r="J63" s="90" t="s"/>
      <c r="K63" s="91" t="s"/>
      <c r="L63" s="90" t="s"/>
      <c r="M63" s="90" t="s"/>
      <c r="N63" s="91" t="s"/>
      <c r="O63" s="91" t="s"/>
      <c r="P63" s="91" t="s"/>
      <c r="Q63" s="90" t="s"/>
      <c r="R63" s="90" t="s"/>
      <c r="S63" s="90" t="s"/>
      <c r="T63" s="90" t="s"/>
      <c r="U63" s="90" t="s"/>
      <c r="V63" s="90" t="s"/>
      <c r="W63" s="90" t="s"/>
      <c r="X63" s="92" t="s"/>
      <c r="Y63" s="92" t="s"/>
      <c r="Z63" s="92" t="s"/>
      <c r="AA63" s="92" t="s"/>
      <c r="AB63" s="90" t="s"/>
      <c r="AC63" s="90" t="s"/>
      <c r="AD63" s="92" t="s"/>
      <c r="AE63" s="92" t="s"/>
      <c r="AF63" s="92" t="s"/>
    </row>
    <row r="64" spans="2:32" ht="16.5">
      <c r="B64" s="93" t="s">
        <v>176</v>
      </c>
      <c r="C64" s="93" t="s">
        <v>177</v>
      </c>
      <c r="D64" s="94">
        <v>60</v>
      </c>
      <c r="E64" s="93" t="s"/>
      <c r="F64" s="93" t="s">
        <v>178</v>
      </c>
      <c r="G64" s="93">
        <f>=SUM(D2:D64)</f>
        <v>7319.46</v>
      </c>
      <c r="H64" s="91" t="s"/>
      <c r="I64" s="91" t="s"/>
      <c r="J64" s="90" t="s"/>
      <c r="K64" s="91" t="s"/>
      <c r="L64" s="90" t="s"/>
      <c r="M64" s="90" t="s"/>
      <c r="N64" s="91" t="s"/>
      <c r="O64" s="91" t="s"/>
      <c r="P64" s="91" t="s"/>
      <c r="Q64" s="90" t="s"/>
      <c r="R64" s="90" t="s"/>
      <c r="S64" s="90" t="s"/>
      <c r="T64" s="90" t="s"/>
      <c r="U64" s="90" t="s"/>
      <c r="V64" s="90" t="s"/>
      <c r="W64" s="90" t="s"/>
      <c r="X64" s="92" t="s"/>
      <c r="Y64" s="92" t="s"/>
      <c r="Z64" s="92" t="s"/>
      <c r="AA64" s="92" t="s"/>
      <c r="AB64" s="90" t="s"/>
      <c r="AC64" s="90" t="s"/>
      <c r="AD64" s="92" t="s"/>
      <c r="AE64" s="92" t="s"/>
      <c r="AF64" s="92" t="s"/>
    </row>
    <row r="65" spans="2:32" ht="16.5">
      <c r="B65" s="90" t="s"/>
      <c r="C65" s="90" t="s"/>
      <c r="D65" s="90" t="s"/>
      <c r="E65" s="90" t="s"/>
      <c r="F65" s="90" t="s"/>
      <c r="G65" s="90" t="s"/>
      <c r="H65" s="91" t="s"/>
      <c r="I65" s="91" t="s"/>
      <c r="J65" s="90" t="s"/>
      <c r="K65" s="91" t="s"/>
      <c r="L65" s="90" t="s"/>
      <c r="M65" s="90" t="s"/>
      <c r="N65" s="91" t="s"/>
      <c r="O65" s="91" t="s"/>
      <c r="P65" s="91" t="s"/>
      <c r="Q65" s="90" t="s"/>
      <c r="R65" s="90" t="s"/>
      <c r="S65" s="90" t="s"/>
      <c r="T65" s="90" t="s"/>
      <c r="U65" s="90" t="s"/>
      <c r="V65" s="90" t="s"/>
      <c r="W65" s="90" t="s"/>
      <c r="X65" s="92" t="s"/>
      <c r="Y65" s="92" t="s"/>
      <c r="Z65" s="92" t="s"/>
      <c r="AA65" s="92" t="s"/>
      <c r="AB65" s="90" t="s"/>
      <c r="AC65" s="90" t="s"/>
      <c r="AD65" s="92" t="s"/>
      <c r="AE65" s="92" t="s"/>
      <c r="AF65" s="92" t="s"/>
    </row>
    <row r="66" spans="2:32" ht="16.5">
      <c r="B66" s="90" t="s"/>
      <c r="C66" s="90" t="s"/>
      <c r="D66" s="90" t="s"/>
      <c r="E66" s="90" t="s"/>
      <c r="F66" s="90" t="s"/>
      <c r="G66" s="90" t="s"/>
      <c r="H66" s="91" t="s"/>
      <c r="I66" s="91" t="s"/>
      <c r="J66" s="90" t="s"/>
      <c r="K66" s="91" t="s"/>
      <c r="L66" s="90" t="s"/>
      <c r="M66" s="90" t="s"/>
      <c r="N66" s="91" t="s"/>
      <c r="O66" s="91" t="s"/>
      <c r="P66" s="91" t="s"/>
      <c r="Q66" s="90" t="s"/>
      <c r="R66" s="90" t="s"/>
      <c r="S66" s="90" t="s"/>
      <c r="T66" s="90" t="s"/>
      <c r="U66" s="90" t="s"/>
      <c r="V66" s="90" t="s"/>
      <c r="W66" s="90" t="s"/>
      <c r="X66" s="92" t="s"/>
      <c r="Y66" s="92" t="s"/>
      <c r="Z66" s="92" t="s"/>
      <c r="AA66" s="92" t="s"/>
      <c r="AB66" s="90" t="s"/>
      <c r="AC66" s="90" t="s"/>
      <c r="AD66" s="92" t="s"/>
      <c r="AE66" s="92" t="s"/>
      <c r="AF66" s="92" t="s"/>
    </row>
    <row r="67" spans="2:32" ht="16.5">
      <c r="B67" s="90" t="s"/>
      <c r="C67" s="90" t="s"/>
      <c r="D67" s="90" t="s"/>
      <c r="E67" s="90" t="s"/>
      <c r="F67" s="90" t="s"/>
      <c r="G67" s="90" t="s"/>
      <c r="H67" s="91" t="s"/>
      <c r="I67" s="91" t="s"/>
      <c r="J67" s="90" t="s"/>
      <c r="K67" s="91" t="s"/>
      <c r="L67" s="90" t="s"/>
      <c r="M67" s="90" t="s"/>
      <c r="N67" s="91" t="s"/>
      <c r="O67" s="91" t="s"/>
      <c r="P67" s="91" t="s"/>
      <c r="Q67" s="90" t="s"/>
      <c r="R67" s="90" t="s"/>
      <c r="S67" s="90" t="s"/>
      <c r="T67" s="90" t="s"/>
      <c r="U67" s="90" t="s"/>
      <c r="V67" s="90" t="s"/>
      <c r="W67" s="90" t="s"/>
      <c r="X67" s="92" t="s"/>
      <c r="Y67" s="92" t="s"/>
      <c r="Z67" s="92" t="s"/>
      <c r="AA67" s="92" t="s"/>
      <c r="AB67" s="90" t="s"/>
      <c r="AC67" s="90" t="s"/>
      <c r="AD67" s="92" t="s"/>
      <c r="AE67" s="92" t="s"/>
      <c r="AF67" s="92" t="s"/>
    </row>
    <row r="73" spans="1:5" ht="34">
      <c r="A73" s="95" t="s">
        <v>179</v>
      </c>
      <c r="B73" s="92" t="s"/>
      <c r="C73" s="92" t="s"/>
      <c r="D73" s="92" t="s"/>
      <c r="E73" s="92" t="s"/>
    </row>
    <row r="74" spans="1:5" ht="16.5">
      <c r="A74" s="96" t="s"/>
      <c r="B74" s="92" t="s"/>
      <c r="C74" s="92" t="s"/>
      <c r="D74" s="92" t="s"/>
      <c r="E74" s="92" t="s"/>
    </row>
    <row r="75" spans="1:5" ht="16.5">
      <c r="A75" s="97" t="s">
        <v>180</v>
      </c>
      <c r="B75" s="98" t="s"/>
      <c r="C75" s="98" t="s"/>
      <c r="D75" s="98" t="s"/>
      <c r="E75" s="92" t="s"/>
    </row>
    <row r="76" spans="1:5" ht="16.5">
      <c r="A76" s="99" t="s">
        <v>181</v>
      </c>
      <c r="B76" s="99" t="s">
        <v>182</v>
      </c>
      <c r="C76" s="100" t="s">
        <v>183</v>
      </c>
      <c r="D76" s="99" t="s">
        <v>184</v>
      </c>
      <c r="E76" s="92" t="s"/>
    </row>
    <row r="77" spans="1:5" ht="33">
      <c r="A77" s="101" t="s">
        <v>185</v>
      </c>
      <c r="B77" s="101">
        <f>=COUNTIF('B1装修管控总表（优化版）'!E:E,"是")</f>
        <v>24</v>
      </c>
      <c r="C77" s="101">
        <f>=COUNTA(C2:C62)</f>
        <v>61</v>
      </c>
      <c r="D77" s="102">
        <f>=B77/C77</f>
        <v>0.39344262295082</v>
      </c>
      <c r="E77" s="92" t="s"/>
    </row>
    <row r="78" spans="1:5" ht="33">
      <c r="A78" s="103" t="s">
        <v>186</v>
      </c>
      <c r="B78" s="104">
        <f>=COUNTIF('B1装修管控总表（优化版）'!G:G,"是")</f>
        <v>2</v>
      </c>
      <c r="C78" s="104">
        <f>=COUNTA(C2:C63)</f>
        <v>61</v>
      </c>
      <c r="D78" s="105">
        <f>=B78/C78</f>
        <v>0.0327868852459017</v>
      </c>
      <c r="E78" s="106" t="s"/>
    </row>
    <row r="79" spans="1:5" ht="33">
      <c r="A79" s="104" t="s">
        <v>187</v>
      </c>
      <c r="B79" s="104">
        <f>=COUNTIF('B1装修管控总表（优化版）'!Q:Q,"是")</f>
        <v>3</v>
      </c>
      <c r="C79" s="104">
        <f>=COUNTA(C2:C63)</f>
        <v>61</v>
      </c>
      <c r="D79" s="105">
        <f>=B79/C79</f>
        <v>0.0491803278688525</v>
      </c>
      <c r="E79" s="106" t="s"/>
    </row>
    <row r="80" spans="1:5" ht="33">
      <c r="A80" s="103" t="s">
        <v>188</v>
      </c>
      <c r="B80" s="104">
        <f>=COUNTIF('B1装修管控总表（优化版）'!R:R,"是")</f>
        <v>1</v>
      </c>
      <c r="C80" s="104">
        <f>=COUNTA(C2:C63)</f>
        <v>61</v>
      </c>
      <c r="D80" s="105">
        <f>=B80/C80</f>
        <v>0.0163934426229508</v>
      </c>
      <c r="E80" s="106" t="s"/>
    </row>
    <row r="81" spans="1:5" ht="33">
      <c r="A81" s="107" t="s">
        <v>189</v>
      </c>
      <c r="B81" s="101">
        <f>=COUNTIF('B1装修管控总表（优化版）'!S:S,"是")</f>
        <v>0</v>
      </c>
      <c r="C81" s="101">
        <f>=COUNTA(C2:C62)</f>
        <v>61</v>
      </c>
      <c r="D81" s="102">
        <f>=B81/C81</f>
        <v>0</v>
      </c>
      <c r="E81" s="92" t="s"/>
    </row>
    <row r="82" spans="1:5" ht="33">
      <c r="A82" s="101" t="s">
        <v>190</v>
      </c>
      <c r="B82" s="101">
        <f>=COUNTIF('B1装修管控总表（优化版）'!L90:L167,"是")</f>
        <v>0</v>
      </c>
      <c r="C82" s="101">
        <f>=COUNTA(C2:C62)</f>
        <v>61</v>
      </c>
      <c r="D82" s="102">
        <f>=B82/C82</f>
        <v>0</v>
      </c>
      <c r="E82" s="92" t="s"/>
    </row>
    <row r="83" spans="1:5" ht="16.5">
      <c r="A83" s="92" t="s"/>
      <c r="B83" s="92" t="s"/>
      <c r="C83" s="92" t="s"/>
      <c r="D83" s="92" t="s"/>
      <c r="E83" s="92" t="s"/>
    </row>
    <row r="84" spans="1:32" ht="16.5"/>
    <row r="85" spans="1:32" ht="16.5"/>
    <row r="86" spans="1:11" ht="16.5">
      <c r="A86" s="185" t="s">
        <v>191</v>
      </c>
      <c r="B86" s="109" t="s"/>
      <c r="C86" s="109" t="s"/>
      <c r="D86" s="109" t="s"/>
      <c r="E86" s="109" t="s"/>
      <c r="F86" s="110" t="s">
        <v>191</v>
      </c>
      <c r="H86" s="111" t="s"/>
      <c r="I86" s="111" t="s"/>
      <c r="K86" s="111" t="s"/>
    </row>
    <row r="87" spans="1:9" ht="16.5">
      <c r="A87" s="112" t="s">
        <v>192</v>
      </c>
      <c r="B87" s="112" t="s">
        <v>194</v>
      </c>
      <c r="C87" s="179" t="s">
        <v>193</v>
      </c>
      <c r="D87" s="181" t="s">
        <v>294</v>
      </c>
      <c r="E87" s="186" t="s">
        <v>295</v>
      </c>
      <c r="F87" s="176" t="s">
        <v>195</v>
      </c>
      <c r="G87" s="114" t="s">
        <v>196</v>
      </c>
      <c r="H87" s="114" t="s">
        <v>197</v>
      </c>
      <c r="I87" s="116" t="s"/>
    </row>
    <row r="88" spans="1:9" ht="16.5">
      <c r="A88" s="104" t="s">
        <v>198</v>
      </c>
      <c r="B88" s="104">
        <v>11</v>
      </c>
      <c r="C88" s="180">
        <f>=COUNTIF('B1装修管控总表（优化版）'!E2:E12,"是")</f>
        <v>7</v>
      </c>
      <c r="D88" s="182">
        <f>=COUNTIF('B1装修管控总表（优化版）'!I2:I12,"是")</f>
        <v>7</v>
      </c>
      <c r="E88" s="187">
        <f>=COUNTIF('B1装修管控总表（优化版）'!G2:G12,"是")</f>
        <v>0</v>
      </c>
      <c r="F88" s="177">
        <f>=COUNTIF('B1装修管控总表（优化版）'!Q2:Q12,"是")</f>
        <v>1</v>
      </c>
      <c r="G88" s="118">
        <f>=COUNTIF('B1装修管控总表（优化版）'!R2:R12,"是")</f>
        <v>1</v>
      </c>
      <c r="H88" s="118">
        <f>=COUNTIF('B1装修管控总表（优化版）'!S2:S12,"是")</f>
        <v>0</v>
      </c>
      <c r="I88" s="119" t="s"/>
    </row>
    <row r="89" spans="1:9">
      <c r="A89" s="104" t="s">
        <v>199</v>
      </c>
      <c r="B89" s="104">
        <v>23</v>
      </c>
      <c r="C89" s="180">
        <f>=COUNTIF('B1装修管控总表（优化版）'!E13:E36,"是")</f>
        <v>5</v>
      </c>
      <c r="D89" s="182">
        <f>=COUNTIF('B1装修管控总表（优化版）'!I13:I36,"是")</f>
        <v>0</v>
      </c>
      <c r="E89" s="187">
        <f>=COUNTIF('B1装修管控总表（优化版）'!G13:G36,"是")</f>
        <v>0</v>
      </c>
      <c r="F89" s="177">
        <f>=COUNTIF('B1装修管控总表（优化版）'!Q13:Q36,"是")</f>
        <v>0</v>
      </c>
      <c r="G89" s="118">
        <f>=COUNTIF('B1装修管控总表（优化版）'!R13:R36,"是")</f>
        <v>0</v>
      </c>
      <c r="H89" s="118">
        <f>=COUNTIF('B1装修管控总表（优化版）'!S13:S36,"是")</f>
        <v>0</v>
      </c>
      <c r="I89" s="119" t="s"/>
    </row>
    <row r="90" spans="1:9">
      <c r="A90" s="104" t="s">
        <v>200</v>
      </c>
      <c r="B90" s="104">
        <v>25</v>
      </c>
      <c r="C90" s="180">
        <f>=COUNTIF('B1装修管控总表（优化版）'!E37:E62,"是")</f>
        <v>12</v>
      </c>
      <c r="D90" s="182">
        <f>=COUNTIF('B1装修管控总表（优化版）'!I37:I62,"是")</f>
        <v>5</v>
      </c>
      <c r="E90" s="187">
        <f>=COUNTIF('B1装修管控总表（优化版）'!G37:G62,"是")</f>
        <v>2</v>
      </c>
      <c r="F90" s="177">
        <f>=COUNTIF('B1装修管控总表（优化版）'!Q37:Q62,"是")</f>
        <v>2</v>
      </c>
      <c r="G90" s="118">
        <f>=COUNTIF('B1装修管控总表（优化版）'!R37:R62,"是")</f>
        <v>0</v>
      </c>
      <c r="H90" s="118">
        <f>=COUNTIF('B1装修管控总表（优化版）'!S37:S62,"是")</f>
        <v>0</v>
      </c>
      <c r="I90" s="119" t="s"/>
    </row>
    <row r="497" spans="21:21">
      <c r="U497" s="120" t="s"/>
    </row>
  </sheetData>
  <autoFilter ref="B1:AC62">
    <filterColumn colId="4">
      <filters blank="0">
        <filter val="许如邯"/>
      </filters>
    </filterColumn>
    <extLst/>
  </autoFilter>
  <mergeCells count="7">
    <mergeCell ref="A1:B1"/>
    <mergeCell ref="A2:A11"/>
    <mergeCell ref="A13:A36"/>
    <mergeCell ref="A75:D75"/>
    <mergeCell ref="A86:E86"/>
    <mergeCell ref="A37:A62"/>
    <mergeCell ref="F86:M86"/>
  </mergeCells>
  <conditionalFormatting sqref="L2:L59 L63:L497">
    <cfRule type="expression" dxfId="0" priority="1">
      <formula>$L2="是"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>
  <sheetPr/>
  <dimension ref="V101"/>
  <sheetViews>
    <sheetView showGridLines="1" zoomScale="70" zoomScaleNormal="70" workbookViewId="0"/>
  </sheetViews>
  <sheetFormatPr defaultColWidth="9" defaultRowHeight="14"/>
  <cols>
    <col min="1" max="1" width="18.1818" style="195" customWidth="1"/>
    <col min="2" max="2" width="19.2727" style="195" customWidth="1"/>
    <col min="4" max="4" width="16.4545" style="195" customWidth="1"/>
    <col min="8" max="8" width="11.8182" style="195" customWidth="1"/>
    <col min="9" max="9" width="12.4545" style="195" customWidth="1"/>
    <col min="12" max="12" width="13.2364" style="195" customWidth="1"/>
    <col min="13" max="13" width="13.3636" style="195" customWidth="1"/>
    <col min="14" max="14" width="12.2727" style="195" customWidth="1"/>
    <col min="15" max="15" width="10.1182" style="195" customWidth="1"/>
    <col min="16" max="16" width="12.5909" style="195" customWidth="1"/>
    <col min="17" max="17" width="16.9091" style="195" customWidth="1"/>
  </cols>
  <sheetData>
    <row r="1" spans="1:22">
      <c r="A1" s="121" t="s">
        <v>201</v>
      </c>
      <c r="B1" s="122" t="s"/>
      <c r="C1" s="122" t="s"/>
      <c r="D1" s="122" t="s"/>
      <c r="E1" s="122" t="s"/>
      <c r="F1" s="122" t="s"/>
      <c r="G1" s="122" t="s"/>
      <c r="H1" s="122" t="s"/>
      <c r="I1" s="122" t="s"/>
      <c r="J1" s="122" t="s"/>
      <c r="K1" s="122" t="s"/>
      <c r="L1" s="122" t="s"/>
      <c r="M1" s="122" t="s"/>
      <c r="N1" s="122" t="s"/>
      <c r="O1" s="122" t="s"/>
      <c r="P1" s="122" t="s"/>
      <c r="Q1" s="123" t="s"/>
      <c r="R1" s="124" t="s"/>
      <c r="S1" s="124" t="s"/>
      <c r="T1" s="124" t="s"/>
      <c r="U1" s="124" t="s"/>
      <c r="V1" s="125" t="s"/>
    </row>
    <row r="2" spans="1:22">
      <c r="A2" s="121" t="s">
        <v>202</v>
      </c>
      <c r="B2" s="121" t="s">
        <v>203</v>
      </c>
      <c r="C2" s="121" t="s">
        <v>204</v>
      </c>
      <c r="D2" s="121" t="s">
        <v>205</v>
      </c>
      <c r="E2" s="121" t="s">
        <v>206</v>
      </c>
      <c r="F2" s="121" t="s">
        <v>207</v>
      </c>
      <c r="G2" s="121" t="s"/>
      <c r="H2" s="121" t="s"/>
      <c r="I2" s="121" t="s"/>
      <c r="J2" s="121" t="s"/>
      <c r="K2" s="121" t="s">
        <v>208</v>
      </c>
      <c r="L2" s="121" t="s">
        <v>209</v>
      </c>
      <c r="M2" s="121" t="s">
        <v>210</v>
      </c>
      <c r="N2" s="121" t="s"/>
      <c r="O2" s="121" t="s"/>
      <c r="P2" s="121" t="s">
        <v>210</v>
      </c>
      <c r="Q2" s="121" t="s">
        <v>211</v>
      </c>
      <c r="R2" s="124" t="s"/>
      <c r="S2" s="124" t="s"/>
      <c r="T2" s="124" t="s"/>
      <c r="U2" s="124" t="s"/>
      <c r="V2" s="125" t="s"/>
    </row>
    <row r="3" spans="1:22">
      <c r="A3" s="126" t="s"/>
      <c r="B3" s="126" t="s"/>
      <c r="C3" s="121" t="s">
        <v>212</v>
      </c>
      <c r="D3" s="121" t="s">
        <v>213</v>
      </c>
      <c r="E3" s="121" t="s">
        <v>213</v>
      </c>
      <c r="F3" s="121" t="s">
        <v>213</v>
      </c>
      <c r="G3" s="121" t="s">
        <v>214</v>
      </c>
      <c r="H3" s="121" t="s">
        <v>215</v>
      </c>
      <c r="I3" s="121" t="s">
        <v>216</v>
      </c>
      <c r="J3" s="121" t="s">
        <v>217</v>
      </c>
      <c r="K3" s="126" t="s"/>
      <c r="L3" s="126" t="s"/>
      <c r="M3" s="126" t="s"/>
      <c r="N3" s="121" t="s">
        <v>218</v>
      </c>
      <c r="O3" s="121" t="s">
        <v>219</v>
      </c>
      <c r="P3" s="126" t="s"/>
      <c r="Q3" s="126" t="s"/>
      <c r="R3" s="124" t="s">
        <v>220</v>
      </c>
      <c r="S3" s="124" t="s">
        <v>221</v>
      </c>
      <c r="T3" s="124" t="s">
        <v>222</v>
      </c>
      <c r="U3" s="124" t="s"/>
      <c r="V3" s="125" t="s"/>
    </row>
    <row r="4" spans="1:22" ht="15.5" customHeight="1">
      <c r="A4" s="127" t="s">
        <v>223</v>
      </c>
      <c r="B4" s="127" t="s">
        <v>33</v>
      </c>
      <c r="C4" s="127">
        <v>98.14</v>
      </c>
      <c r="D4" s="128">
        <v>130</v>
      </c>
      <c r="E4" s="129">
        <v>50</v>
      </c>
      <c r="F4" s="129">
        <v>10.6</v>
      </c>
      <c r="G4" s="130">
        <v>0.05</v>
      </c>
      <c r="H4" s="131">
        <f>=D4*C4/G4/1.09</f>
        <v>234095.412844037</v>
      </c>
      <c r="I4" s="132">
        <v>120000</v>
      </c>
      <c r="J4" s="131">
        <f>=(I4-H4)*G4*1.09</f>
        <v>-6218.2</v>
      </c>
      <c r="K4" s="129">
        <f>=D4+E4+F4</f>
        <v>190.6</v>
      </c>
      <c r="L4" s="133">
        <f>=(D4+E4+F4)*C4</f>
        <v>18705.484</v>
      </c>
      <c r="M4" s="133">
        <f>=K4*C4+MAX(J4,0)</f>
        <v>18705.484</v>
      </c>
      <c r="N4" s="132">
        <v>150000</v>
      </c>
      <c r="O4" s="131">
        <f>=(N4-H4)*G4*1.09</f>
        <v>-4583.2</v>
      </c>
      <c r="P4" s="133">
        <f>=K4*C4+MAX(O4,0)</f>
        <v>18705.484</v>
      </c>
      <c r="Q4" s="133">
        <f>=M4*12</f>
        <v>224465.808</v>
      </c>
      <c r="R4" s="124">
        <f>=C4*D4</f>
        <v>12758.2</v>
      </c>
      <c r="S4" s="124">
        <f>=E4*C4</f>
        <v>4907</v>
      </c>
      <c r="T4" s="124">
        <f>=F4*C4</f>
        <v>1040.284</v>
      </c>
      <c r="U4" s="124" t="s"/>
      <c r="V4" s="125" t="s"/>
    </row>
    <row r="5" spans="1:22" ht="15.5" customHeight="1">
      <c r="A5" s="127" t="s">
        <v>41</v>
      </c>
      <c r="B5" s="127" t="s">
        <v>35</v>
      </c>
      <c r="C5" s="127">
        <v>115.82</v>
      </c>
      <c r="D5" s="128">
        <v>120</v>
      </c>
      <c r="E5" s="129">
        <v>50</v>
      </c>
      <c r="F5" s="129">
        <v>10.6</v>
      </c>
      <c r="G5" s="130">
        <v>0.05</v>
      </c>
      <c r="H5" s="131">
        <f>=D5*C5/G5/1.09</f>
        <v>255016.513761468</v>
      </c>
      <c r="I5" s="132">
        <v>120000</v>
      </c>
      <c r="J5" s="131">
        <f>=(I5-H5)*G5*1.09</f>
        <v>-7358.4</v>
      </c>
      <c r="K5" s="129">
        <f>=D5+E5+F5</f>
        <v>180.6</v>
      </c>
      <c r="L5" s="133">
        <f>=(D5+E5+F5)*C5</f>
        <v>20917.092</v>
      </c>
      <c r="M5" s="133">
        <f>=K5*C5+MAX(J5,0)</f>
        <v>20917.092</v>
      </c>
      <c r="N5" s="132">
        <v>150000</v>
      </c>
      <c r="O5" s="131">
        <f>=(N5-H5)*G5*1.09</f>
        <v>-5723.4</v>
      </c>
      <c r="P5" s="133">
        <f>=K5*C5+MAX(O5,0)</f>
        <v>20917.092</v>
      </c>
      <c r="Q5" s="133">
        <f>=M5*12</f>
        <v>251005.104</v>
      </c>
      <c r="R5" s="124">
        <f>=C5*D5</f>
        <v>13898.4</v>
      </c>
      <c r="S5" s="124">
        <f>=E5*C5</f>
        <v>5791</v>
      </c>
      <c r="T5" s="124">
        <f>=F5*C5</f>
        <v>1227.692</v>
      </c>
      <c r="U5" s="124" t="s"/>
      <c r="V5" s="125" t="s"/>
    </row>
    <row r="6" spans="1:22" ht="15.5" customHeight="1">
      <c r="A6" s="127" t="s">
        <v>224</v>
      </c>
      <c r="B6" s="127" t="s">
        <v>40</v>
      </c>
      <c r="C6" s="127">
        <v>69.45</v>
      </c>
      <c r="D6" s="128">
        <v>160</v>
      </c>
      <c r="E6" s="129">
        <v>50</v>
      </c>
      <c r="F6" s="129">
        <v>10.6</v>
      </c>
      <c r="G6" s="130">
        <v>0.11</v>
      </c>
      <c r="H6" s="131">
        <f>=D6*C6/G6/1.09</f>
        <v>92677.2310258549</v>
      </c>
      <c r="I6" s="132">
        <v>75000</v>
      </c>
      <c r="J6" s="131">
        <f>=(I6-H6)*G6*1.09</f>
        <v>-2119.5</v>
      </c>
      <c r="K6" s="129">
        <f>=D6+E6+F6</f>
        <v>220.6</v>
      </c>
      <c r="L6" s="133">
        <f>=(D6+E6+F6)*C6</f>
        <v>15320.67</v>
      </c>
      <c r="M6" s="133">
        <f>=K6*C6+MAX(J6,0)</f>
        <v>15320.67</v>
      </c>
      <c r="N6" s="132">
        <v>100000</v>
      </c>
      <c r="O6" s="131">
        <f>=(N6-H6)*G6*1.09</f>
        <v>878</v>
      </c>
      <c r="P6" s="133">
        <f>=K6*C6+MAX(O6,0)</f>
        <v>16198.67</v>
      </c>
      <c r="Q6" s="133">
        <f>=M6*12</f>
        <v>183848.04</v>
      </c>
      <c r="R6" s="124">
        <f>=C6*D6</f>
        <v>11112</v>
      </c>
      <c r="S6" s="124">
        <f>=E6*C6</f>
        <v>3472.5</v>
      </c>
      <c r="T6" s="124">
        <f>=F6*C6</f>
        <v>736.17</v>
      </c>
      <c r="U6" s="124" t="s"/>
      <c r="V6" s="125" t="s"/>
    </row>
    <row r="7" spans="1:22" ht="15.5" customHeight="1">
      <c r="A7" s="127" t="s">
        <v>225</v>
      </c>
      <c r="B7" s="127" t="s">
        <v>42</v>
      </c>
      <c r="C7" s="127">
        <v>74.61</v>
      </c>
      <c r="D7" s="128">
        <v>145</v>
      </c>
      <c r="E7" s="129">
        <v>50</v>
      </c>
      <c r="F7" s="129">
        <v>10.6</v>
      </c>
      <c r="G7" s="130">
        <v>0.11</v>
      </c>
      <c r="H7" s="131">
        <f>=D7*C7/G7/1.09</f>
        <v>90228.9407839867</v>
      </c>
      <c r="I7" s="132">
        <v>75000</v>
      </c>
      <c r="J7" s="131">
        <f>=(I7-H7)*G7*1.09</f>
        <v>-1825.95</v>
      </c>
      <c r="K7" s="129">
        <f>=D7+E7+F7</f>
        <v>205.6</v>
      </c>
      <c r="L7" s="133">
        <f>=(D7+E7+F7)*C7</f>
        <v>15339.816</v>
      </c>
      <c r="M7" s="133">
        <f>=K7*C7+MAX(J7,0)</f>
        <v>15339.816</v>
      </c>
      <c r="N7" s="132">
        <v>100000</v>
      </c>
      <c r="O7" s="131">
        <f>=(N7-H7)*G7*1.09</f>
        <v>1171.55</v>
      </c>
      <c r="P7" s="133">
        <f>=K7*C7+MAX(O7,0)</f>
        <v>16511.366</v>
      </c>
      <c r="Q7" s="133">
        <f>=M7*12</f>
        <v>184077.792</v>
      </c>
      <c r="R7" s="124">
        <f>=C7*D7</f>
        <v>10818.45</v>
      </c>
      <c r="S7" s="124">
        <f>=E7*C7</f>
        <v>3730.5</v>
      </c>
      <c r="T7" s="124">
        <f>=F7*C7</f>
        <v>790.866</v>
      </c>
      <c r="U7" s="124" t="s"/>
      <c r="V7" s="125" t="s"/>
    </row>
    <row r="8" spans="1:22" ht="15.5" customHeight="1">
      <c r="A8" s="127" t="s">
        <v>48</v>
      </c>
      <c r="B8" s="127" t="s">
        <v>45</v>
      </c>
      <c r="C8" s="127">
        <v>68.63</v>
      </c>
      <c r="D8" s="128">
        <v>155</v>
      </c>
      <c r="E8" s="129">
        <v>50</v>
      </c>
      <c r="F8" s="129">
        <v>10.6</v>
      </c>
      <c r="G8" s="130">
        <v>0.11</v>
      </c>
      <c r="H8" s="131">
        <f>=D8*C8/G8/1.09</f>
        <v>88721.0175145955</v>
      </c>
      <c r="I8" s="132">
        <v>80000</v>
      </c>
      <c r="J8" s="131">
        <f>=(I8-H8)*G8*1.09</f>
        <v>-1045.65</v>
      </c>
      <c r="K8" s="129">
        <f>=D8+E8+F8</f>
        <v>215.6</v>
      </c>
      <c r="L8" s="133">
        <f>=(D8+E8+F8)*C8</f>
        <v>14796.628</v>
      </c>
      <c r="M8" s="133">
        <f>=K8*C8+MAX(J8,0)</f>
        <v>14796.628</v>
      </c>
      <c r="N8" s="132">
        <v>80000</v>
      </c>
      <c r="O8" s="131">
        <f>=(N8-H8)*G8*1.09</f>
        <v>-1045.65</v>
      </c>
      <c r="P8" s="133">
        <f>=K8*C8+MAX(O8,0)</f>
        <v>14796.628</v>
      </c>
      <c r="Q8" s="133">
        <f>=M8*12</f>
        <v>177559.536</v>
      </c>
      <c r="R8" s="124">
        <f>=C8*D8</f>
        <v>10637.65</v>
      </c>
      <c r="S8" s="124">
        <f>=E8*C8</f>
        <v>3431.5</v>
      </c>
      <c r="T8" s="124">
        <f>=F8*C8</f>
        <v>727.478</v>
      </c>
      <c r="U8" s="124" t="s"/>
      <c r="V8" s="125" t="s"/>
    </row>
    <row r="9" spans="1:22" ht="15.5" customHeight="1">
      <c r="A9" s="127" t="s">
        <v>143</v>
      </c>
      <c r="B9" s="127" t="s">
        <v>47</v>
      </c>
      <c r="C9" s="127">
        <v>66.83</v>
      </c>
      <c r="D9" s="128">
        <v>155</v>
      </c>
      <c r="E9" s="129">
        <v>50</v>
      </c>
      <c r="F9" s="129">
        <v>10.6</v>
      </c>
      <c r="G9" s="130">
        <v>0.05</v>
      </c>
      <c r="H9" s="131">
        <f>=D9*C9/G9/1.09</f>
        <v>190066.972477064</v>
      </c>
      <c r="I9" s="132">
        <v>120000</v>
      </c>
      <c r="J9" s="131">
        <f>=(I9-H9)*G9*1.09</f>
        <v>-3818.65</v>
      </c>
      <c r="K9" s="129">
        <f>=D9+E9+F9</f>
        <v>215.6</v>
      </c>
      <c r="L9" s="133">
        <f>=(D9+E9+F9)*C9</f>
        <v>14408.548</v>
      </c>
      <c r="M9" s="133">
        <f>=K9*C9+MAX(J9,0)</f>
        <v>14408.548</v>
      </c>
      <c r="N9" s="132">
        <v>150000</v>
      </c>
      <c r="O9" s="131">
        <f>=(N9-H9)*G9*1.09</f>
        <v>-2183.65</v>
      </c>
      <c r="P9" s="133">
        <f>=K9*C9+MAX(O9,0)</f>
        <v>14408.548</v>
      </c>
      <c r="Q9" s="133">
        <f>=M9*12</f>
        <v>172902.576</v>
      </c>
      <c r="R9" s="124">
        <f>=C9*D9</f>
        <v>10358.65</v>
      </c>
      <c r="S9" s="124">
        <f>=E9*C9</f>
        <v>3341.5</v>
      </c>
      <c r="T9" s="124">
        <f>=F9*C9</f>
        <v>708.398</v>
      </c>
      <c r="U9" s="124" t="s"/>
      <c r="V9" s="125" t="s"/>
    </row>
    <row r="10" spans="1:22" ht="15.5" customHeight="1">
      <c r="A10" s="127" t="s">
        <v>226</v>
      </c>
      <c r="B10" s="127" t="s">
        <v>49</v>
      </c>
      <c r="C10" s="127">
        <v>72.95</v>
      </c>
      <c r="D10" s="128">
        <v>155</v>
      </c>
      <c r="E10" s="129">
        <v>50</v>
      </c>
      <c r="F10" s="129">
        <v>10.6</v>
      </c>
      <c r="G10" s="130">
        <v>0.05</v>
      </c>
      <c r="H10" s="131">
        <f>=D10*C10/G10/1.09</f>
        <v>207472.47706422</v>
      </c>
      <c r="I10" s="132">
        <v>120000</v>
      </c>
      <c r="J10" s="131">
        <f>=(I10-H10)*G10*1.09</f>
        <v>-4767.25</v>
      </c>
      <c r="K10" s="129">
        <f>=D10+E10+F10</f>
        <v>215.6</v>
      </c>
      <c r="L10" s="133">
        <f>=(D10+E10+F10)*C10</f>
        <v>15728.02</v>
      </c>
      <c r="M10" s="133">
        <f>=K10*C10+MAX(J10,0)</f>
        <v>15728.02</v>
      </c>
      <c r="N10" s="132">
        <v>140000</v>
      </c>
      <c r="O10" s="131">
        <f>=(N10-H10)*G10*1.09</f>
        <v>-3677.25</v>
      </c>
      <c r="P10" s="133">
        <f>=K10*C10+MAX(O10,0)</f>
        <v>15728.02</v>
      </c>
      <c r="Q10" s="133">
        <f>=M10*12</f>
        <v>188736.24</v>
      </c>
      <c r="R10" s="124">
        <f>=C10*D10</f>
        <v>11307.25</v>
      </c>
      <c r="S10" s="124">
        <f>=E10*C10</f>
        <v>3647.5</v>
      </c>
      <c r="T10" s="124">
        <f>=F10*C10</f>
        <v>773.27</v>
      </c>
      <c r="U10" s="124" t="s"/>
      <c r="V10" s="125" t="s"/>
    </row>
    <row r="11" spans="1:22" ht="15.5" customHeight="1">
      <c r="A11" s="127" t="s">
        <v>227</v>
      </c>
      <c r="B11" s="127" t="s">
        <v>52</v>
      </c>
      <c r="C11" s="127">
        <v>77.36</v>
      </c>
      <c r="D11" s="128">
        <v>120</v>
      </c>
      <c r="E11" s="129">
        <v>50</v>
      </c>
      <c r="F11" s="129">
        <v>10.6</v>
      </c>
      <c r="G11" s="130">
        <v>0.11</v>
      </c>
      <c r="H11" s="131">
        <f>=D11*C11/G11/1.09</f>
        <v>77424.5204336948</v>
      </c>
      <c r="I11" s="132">
        <v>80000</v>
      </c>
      <c r="J11" s="131">
        <f>=(I11-H11)*G11*1.09</f>
        <v>308.8</v>
      </c>
      <c r="K11" s="129">
        <f>=D11+E11+F11</f>
        <v>180.6</v>
      </c>
      <c r="L11" s="133">
        <f>=(D11+E11+F11)*C11</f>
        <v>13971.216</v>
      </c>
      <c r="M11" s="133">
        <f>=K11*C11+MAX(J11,0)</f>
        <v>14280.016</v>
      </c>
      <c r="N11" s="132">
        <v>80000</v>
      </c>
      <c r="O11" s="131">
        <f>=(N11-H11)*G11*1.09</f>
        <v>308.8</v>
      </c>
      <c r="P11" s="133">
        <f>=K11*C11+MAX(O11,0)</f>
        <v>14280.016</v>
      </c>
      <c r="Q11" s="133">
        <f>=M11*12</f>
        <v>171360.192</v>
      </c>
      <c r="R11" s="124">
        <f>=C11*D11</f>
        <v>9283.2</v>
      </c>
      <c r="S11" s="124">
        <f>=E11*C11</f>
        <v>3868</v>
      </c>
      <c r="T11" s="124">
        <f>=F11*C11</f>
        <v>820.016</v>
      </c>
      <c r="U11" s="124" t="s"/>
      <c r="V11" s="125" t="s"/>
    </row>
    <row r="12" spans="1:22" ht="15.5" customHeight="1">
      <c r="A12" s="127" t="s">
        <v>228</v>
      </c>
      <c r="B12" s="127" t="s">
        <v>54</v>
      </c>
      <c r="C12" s="127">
        <v>131.8</v>
      </c>
      <c r="D12" s="128">
        <v>105</v>
      </c>
      <c r="E12" s="129">
        <v>50</v>
      </c>
      <c r="F12" s="129">
        <v>10.6</v>
      </c>
      <c r="G12" s="130">
        <v>0.1</v>
      </c>
      <c r="H12" s="131">
        <f>=D12*C12/G12/1.09</f>
        <v>126963.302752294</v>
      </c>
      <c r="I12" s="132">
        <v>160000</v>
      </c>
      <c r="J12" s="131">
        <f>=(I12-H12)*G12*1.09</f>
        <v>3601</v>
      </c>
      <c r="K12" s="129">
        <f>=D12+E12+F12</f>
        <v>165.6</v>
      </c>
      <c r="L12" s="133">
        <f>=(D12+E12+F12)*C12</f>
        <v>21826.08</v>
      </c>
      <c r="M12" s="133">
        <f>=K12*C12+MAX(J12,0)</f>
        <v>25427.08</v>
      </c>
      <c r="N12" s="132">
        <v>160000</v>
      </c>
      <c r="O12" s="131">
        <f>=(N12-H12)*G12*1.09</f>
        <v>3601</v>
      </c>
      <c r="P12" s="133">
        <f>=K12*C12+MAX(O12,0)</f>
        <v>25427.08</v>
      </c>
      <c r="Q12" s="133">
        <f>=M12*12</f>
        <v>305124.96</v>
      </c>
      <c r="R12" s="124">
        <f>=C12*D12</f>
        <v>13839</v>
      </c>
      <c r="S12" s="124">
        <f>=E12*C12</f>
        <v>6590</v>
      </c>
      <c r="T12" s="124">
        <f>=F12*C12</f>
        <v>1397.08</v>
      </c>
      <c r="U12" s="124" t="s"/>
      <c r="V12" s="125" t="s"/>
    </row>
    <row r="13" spans="1:22" ht="15.5" customHeight="1">
      <c r="A13" s="127" t="s">
        <v>229</v>
      </c>
      <c r="B13" s="127" t="s">
        <v>57</v>
      </c>
      <c r="C13" s="127">
        <v>50.44</v>
      </c>
      <c r="D13" s="128">
        <v>160</v>
      </c>
      <c r="E13" s="129">
        <v>50</v>
      </c>
      <c r="F13" s="129">
        <v>10.6</v>
      </c>
      <c r="G13" s="130">
        <v>0.11</v>
      </c>
      <c r="H13" s="131">
        <f>=D13*C13/G13/1.09</f>
        <v>67309.4245204337</v>
      </c>
      <c r="I13" s="132">
        <v>80000</v>
      </c>
      <c r="J13" s="131">
        <f>=(I13-H13)*G13*1.09</f>
        <v>1521.6</v>
      </c>
      <c r="K13" s="129">
        <f>=D13+E13+F13</f>
        <v>220.6</v>
      </c>
      <c r="L13" s="133">
        <f>=(D13+E13+F13)*C13</f>
        <v>11127.064</v>
      </c>
      <c r="M13" s="133">
        <f>=K13*C13+MAX(J13,0)</f>
        <v>12648.664</v>
      </c>
      <c r="N13" s="132">
        <v>80000</v>
      </c>
      <c r="O13" s="131">
        <f>=(N13-H13)*G13*1.09</f>
        <v>1521.6</v>
      </c>
      <c r="P13" s="133">
        <f>=K13*C13+MAX(O13,0)</f>
        <v>12648.664</v>
      </c>
      <c r="Q13" s="133">
        <f>=M13*12</f>
        <v>151783.968</v>
      </c>
      <c r="R13" s="124">
        <f>=C13*D13</f>
        <v>8070.4</v>
      </c>
      <c r="S13" s="124">
        <f>=E13*C13</f>
        <v>2522</v>
      </c>
      <c r="T13" s="124">
        <f>=F13*C13</f>
        <v>534.664</v>
      </c>
      <c r="U13" s="124" t="s"/>
      <c r="V13" s="125" t="s"/>
    </row>
    <row r="14" spans="1:22" ht="15" customHeight="1">
      <c r="A14" s="127" t="s">
        <v>59</v>
      </c>
      <c r="B14" s="127" t="s">
        <v>58</v>
      </c>
      <c r="C14" s="127">
        <v>3836.72</v>
      </c>
      <c r="D14" s="134">
        <v>31.5</v>
      </c>
      <c r="E14" s="129">
        <v>5.25</v>
      </c>
      <c r="F14" s="129" t="s"/>
      <c r="G14" s="130">
        <v>0.02</v>
      </c>
      <c r="H14" s="131" t="s"/>
      <c r="I14" s="132">
        <v>4000000</v>
      </c>
      <c r="J14" s="131" t="s"/>
      <c r="K14" s="129">
        <f>=D14+E14+F14</f>
        <v>36.75</v>
      </c>
      <c r="L14" s="133">
        <f>=(D14+E14+F14)*C14</f>
        <v>140999.46</v>
      </c>
      <c r="M14" s="133">
        <f>=K14*C14+MAX(J14,0)</f>
        <v>140999.46</v>
      </c>
      <c r="N14" s="132">
        <v>4000000</v>
      </c>
      <c r="O14" s="131" t="s"/>
      <c r="P14" s="133">
        <f>=K14*C14+MAX(O14,0)</f>
        <v>140999.46</v>
      </c>
      <c r="Q14" s="133">
        <f>=M14*12</f>
        <v>1691993.52</v>
      </c>
      <c r="R14" s="124">
        <f>=C14*D14</f>
        <v>120856.68</v>
      </c>
      <c r="S14" s="124">
        <f>=E14*C14</f>
        <v>20142.78</v>
      </c>
      <c r="T14" s="124">
        <f>=F14*C14</f>
        <v>0</v>
      </c>
      <c r="U14" s="124" t="s"/>
      <c r="V14" s="125" t="s"/>
    </row>
    <row r="15" spans="1:22">
      <c r="A15" s="135" t="s">
        <v>230</v>
      </c>
      <c r="B15" s="135" t="s"/>
      <c r="C15" s="135">
        <f>=SUM(C4:C14)</f>
        <v>4662.75</v>
      </c>
      <c r="D15" s="136">
        <f>=R15/C15</f>
        <v>49.9576172859364</v>
      </c>
      <c r="E15" s="136">
        <f>=S15/C15</f>
        <v>13.1776912766072</v>
      </c>
      <c r="F15" s="136">
        <f>=T15/C15</f>
        <v>1.87784419066002</v>
      </c>
      <c r="G15" s="137" t="s"/>
      <c r="H15" s="136" t="s"/>
      <c r="I15" s="136" t="s"/>
      <c r="J15" s="138">
        <f>=SUMIF(J4:J14,"&gt;0")</f>
        <v>5431.4</v>
      </c>
      <c r="K15" s="136">
        <f>=M15/C15</f>
        <v>66.1780018229586</v>
      </c>
      <c r="L15" s="136" t="s"/>
      <c r="M15" s="136">
        <f>=SUM(M4:M14)</f>
        <v>308571.478</v>
      </c>
      <c r="N15" s="135" t="s"/>
      <c r="O15" s="138">
        <f>=SUMIF(O4:O14,"&gt;0")</f>
        <v>7480.95</v>
      </c>
      <c r="P15" s="135">
        <f>=SUM(P4:P14)</f>
        <v>310621.028</v>
      </c>
      <c r="Q15" s="135">
        <f>=SUM(Q4:Q14)</f>
        <v>3702857.736</v>
      </c>
      <c r="R15" s="124">
        <f>=SUM(R3:R14)</f>
        <v>232939.88</v>
      </c>
      <c r="S15" s="124">
        <f>=SUM(S3:S14)</f>
        <v>61444.28</v>
      </c>
      <c r="T15" s="124">
        <f>=SUM(T3:T14)</f>
        <v>8755.918</v>
      </c>
      <c r="U15" s="124" t="s"/>
      <c r="V15" s="125" t="s"/>
    </row>
    <row r="16" spans="1:22">
      <c r="A16" s="125" t="s"/>
      <c r="B16" s="125" t="s"/>
      <c r="C16" s="125" t="s"/>
      <c r="D16" s="125" t="s"/>
      <c r="E16" s="125" t="s"/>
      <c r="F16" s="125" t="s"/>
      <c r="G16" s="125" t="s"/>
      <c r="H16" s="125" t="s"/>
      <c r="I16" s="125" t="s"/>
      <c r="J16" s="125">
        <f>=J15/C15</f>
        <v>1.16484906975497</v>
      </c>
      <c r="K16" s="125" t="s"/>
      <c r="L16" s="125" t="s"/>
      <c r="M16" s="139" t="s"/>
      <c r="N16" s="125" t="s"/>
      <c r="O16" s="139">
        <f>=O15/C15</f>
        <v>1.60440727038765</v>
      </c>
      <c r="P16" s="125">
        <f>=P15/C15</f>
        <v>66.6175600235912</v>
      </c>
      <c r="Q16" s="125" t="s"/>
      <c r="R16" s="125" t="s"/>
      <c r="S16" s="125" t="s"/>
      <c r="T16" s="125" t="s"/>
      <c r="U16" s="125" t="s"/>
      <c r="V16" s="125" t="s"/>
    </row>
    <row r="17" spans="1:22">
      <c r="A17" s="140" t="s">
        <v>231</v>
      </c>
      <c r="R17" s="125" t="s"/>
      <c r="S17" s="125" t="s"/>
      <c r="T17" s="125" t="s"/>
      <c r="U17" s="125" t="s"/>
      <c r="V17" s="125" t="s"/>
    </row>
    <row r="18" spans="1:22">
      <c r="A18" s="140" t="s">
        <v>202</v>
      </c>
      <c r="B18" s="140" t="s">
        <v>203</v>
      </c>
      <c r="C18" s="140" t="s">
        <v>204</v>
      </c>
      <c r="D18" s="140" t="s">
        <v>205</v>
      </c>
      <c r="E18" s="140" t="s">
        <v>206</v>
      </c>
      <c r="F18" s="140" t="s">
        <v>207</v>
      </c>
      <c r="G18" s="140" t="s"/>
      <c r="H18" s="140" t="s"/>
      <c r="I18" s="140" t="s"/>
      <c r="J18" s="140" t="s"/>
      <c r="K18" s="140" t="s">
        <v>208</v>
      </c>
      <c r="L18" s="140" t="s">
        <v>209</v>
      </c>
      <c r="M18" s="140" t="s">
        <v>210</v>
      </c>
      <c r="N18" s="140" t="s"/>
      <c r="O18" s="140" t="s"/>
      <c r="P18" s="140" t="s">
        <v>210</v>
      </c>
      <c r="Q18" s="140" t="s">
        <v>211</v>
      </c>
      <c r="R18" s="125" t="s"/>
      <c r="S18" s="125" t="s"/>
      <c r="T18" s="125" t="s"/>
      <c r="U18" s="125" t="s"/>
      <c r="V18" s="125" t="s"/>
    </row>
    <row r="19" spans="3:22">
      <c r="C19" s="140" t="s">
        <v>212</v>
      </c>
      <c r="D19" s="140" t="s">
        <v>213</v>
      </c>
      <c r="E19" s="140" t="s">
        <v>213</v>
      </c>
      <c r="F19" s="140" t="s">
        <v>213</v>
      </c>
      <c r="G19" s="140" t="s">
        <v>214</v>
      </c>
      <c r="H19" s="140" t="s">
        <v>215</v>
      </c>
      <c r="I19" s="140" t="s">
        <v>216</v>
      </c>
      <c r="J19" s="140" t="s">
        <v>217</v>
      </c>
      <c r="K19" s="141" t="s"/>
      <c r="L19" s="141" t="s"/>
      <c r="M19" s="141" t="s"/>
      <c r="N19" s="140" t="s">
        <v>218</v>
      </c>
      <c r="O19" s="140" t="s">
        <v>219</v>
      </c>
      <c r="R19" s="125" t="s">
        <v>220</v>
      </c>
      <c r="S19" s="125" t="s">
        <v>221</v>
      </c>
      <c r="T19" s="125" t="s">
        <v>222</v>
      </c>
      <c r="U19" s="125" t="s"/>
      <c r="V19" s="125" t="s"/>
    </row>
    <row r="20" spans="1:22" ht="15.5" customHeight="1">
      <c r="A20" s="142" t="s">
        <v>232</v>
      </c>
      <c r="B20" s="142" t="s">
        <v>63</v>
      </c>
      <c r="C20" s="143">
        <v>23.44</v>
      </c>
      <c r="D20" s="144">
        <v>250</v>
      </c>
      <c r="E20" s="145">
        <v>50</v>
      </c>
      <c r="F20" s="145">
        <v>10.6</v>
      </c>
      <c r="G20" s="146">
        <v>0.11</v>
      </c>
      <c r="H20" s="147">
        <f>=D20*C20/G20/1.09</f>
        <v>48874.0617180984</v>
      </c>
      <c r="I20" s="148">
        <v>65000</v>
      </c>
      <c r="J20" s="147">
        <f>=(I20-H20)*G20*1.09</f>
        <v>1933.5</v>
      </c>
      <c r="K20" s="145">
        <f>=D20+E20+F20</f>
        <v>310.6</v>
      </c>
      <c r="L20" s="139">
        <f>=(D20+E20+F20)*C20</f>
        <v>7280.464</v>
      </c>
      <c r="M20" s="139">
        <f>=K20*C20+MAX(J20,0)</f>
        <v>9213.964</v>
      </c>
      <c r="N20" s="148">
        <v>80000</v>
      </c>
      <c r="O20" s="147">
        <f>=(N20-H20)*G20*1.09</f>
        <v>3732</v>
      </c>
      <c r="P20" s="139">
        <f>=K20*C20+MAX(O20,0)</f>
        <v>11012.464</v>
      </c>
      <c r="Q20" s="139">
        <f>=M20*12</f>
        <v>110567.568</v>
      </c>
      <c r="R20" s="125">
        <f>=C20*D20</f>
        <v>5860</v>
      </c>
      <c r="S20" s="125">
        <f>=E20*C20</f>
        <v>1172</v>
      </c>
      <c r="T20" s="125">
        <f>=F20*C20</f>
        <v>248.464</v>
      </c>
      <c r="U20" s="125" t="s"/>
      <c r="V20" s="125" t="s"/>
    </row>
    <row r="21" spans="1:22" ht="15.5" customHeight="1">
      <c r="A21" s="142" t="s">
        <v>233</v>
      </c>
      <c r="B21" s="142" t="s">
        <v>67</v>
      </c>
      <c r="C21" s="142">
        <v>17.85</v>
      </c>
      <c r="D21" s="144">
        <v>250</v>
      </c>
      <c r="E21" s="145">
        <v>50</v>
      </c>
      <c r="F21" s="145">
        <v>10.6</v>
      </c>
      <c r="G21" s="146">
        <v>0.11</v>
      </c>
      <c r="H21" s="147">
        <f>=D21*C21/G21/1.09</f>
        <v>37218.5154295246</v>
      </c>
      <c r="I21" s="148">
        <v>65000</v>
      </c>
      <c r="J21" s="147">
        <f>=(I21-H21)*G21*1.09</f>
        <v>3331</v>
      </c>
      <c r="K21" s="145">
        <f>=D21+E21+F21</f>
        <v>310.6</v>
      </c>
      <c r="L21" s="139">
        <f>=(D21+E21+F21)*C21</f>
        <v>5544.21</v>
      </c>
      <c r="M21" s="139">
        <f>=K21*C21+MAX(J21,0)</f>
        <v>8875.21000000001</v>
      </c>
      <c r="N21" s="148">
        <v>80000</v>
      </c>
      <c r="O21" s="147">
        <f>=(N21-H21)*G21*1.09</f>
        <v>5129.5</v>
      </c>
      <c r="P21" s="139">
        <f>=K21*C21+MAX(O21,0)</f>
        <v>10673.71</v>
      </c>
      <c r="Q21" s="139">
        <f>=M21*12</f>
        <v>106502.52</v>
      </c>
      <c r="R21" s="125">
        <f>=C21*D21</f>
        <v>4462.5</v>
      </c>
      <c r="S21" s="125">
        <f>=E21*C21</f>
        <v>892.5</v>
      </c>
      <c r="T21" s="125">
        <f>=F21*C21</f>
        <v>189.21</v>
      </c>
      <c r="U21" s="125" t="s"/>
      <c r="V21" s="125" t="s"/>
    </row>
    <row r="22" spans="1:22" ht="15.5" customHeight="1">
      <c r="A22" s="142" t="s">
        <v>234</v>
      </c>
      <c r="B22" s="142" t="s">
        <v>69</v>
      </c>
      <c r="C22" s="142">
        <v>17.85</v>
      </c>
      <c r="D22" s="144">
        <v>250</v>
      </c>
      <c r="E22" s="145">
        <v>50</v>
      </c>
      <c r="F22" s="145">
        <v>10.6</v>
      </c>
      <c r="G22" s="146">
        <v>0.11</v>
      </c>
      <c r="H22" s="147">
        <f>=D22*C22/G22/1.09</f>
        <v>37218.5154295246</v>
      </c>
      <c r="I22" s="148">
        <v>65000</v>
      </c>
      <c r="J22" s="147">
        <f>=(I22-H22)*G22*1.09</f>
        <v>3331</v>
      </c>
      <c r="K22" s="145">
        <f>=D22+E22+F22</f>
        <v>310.6</v>
      </c>
      <c r="L22" s="139">
        <f>=(D22+E22+F22)*C22</f>
        <v>5544.21</v>
      </c>
      <c r="M22" s="139">
        <f>=K22*C22+MAX(J22,0)</f>
        <v>8875.21000000001</v>
      </c>
      <c r="N22" s="148">
        <v>80000</v>
      </c>
      <c r="O22" s="147">
        <f>=(N22-H22)*G22*1.09</f>
        <v>5129.5</v>
      </c>
      <c r="P22" s="139">
        <f>=K22*C22+MAX(O22,0)</f>
        <v>10673.71</v>
      </c>
      <c r="Q22" s="139">
        <f>=M22*12</f>
        <v>106502.52</v>
      </c>
      <c r="R22" s="125">
        <f>=C22*D22</f>
        <v>4462.5</v>
      </c>
      <c r="S22" s="125">
        <f>=E22*C22</f>
        <v>892.5</v>
      </c>
      <c r="T22" s="125">
        <f>=F22*C22</f>
        <v>189.21</v>
      </c>
      <c r="U22" s="125" t="s"/>
      <c r="V22" s="125" t="s"/>
    </row>
    <row r="23" spans="1:22" ht="15.5" customHeight="1">
      <c r="A23" s="149" t="s">
        <v>70</v>
      </c>
      <c r="B23" s="142" t="s">
        <v>71</v>
      </c>
      <c r="C23" s="142">
        <v>16.51</v>
      </c>
      <c r="D23" s="144">
        <v>275</v>
      </c>
      <c r="E23" s="145">
        <v>50</v>
      </c>
      <c r="F23" s="145">
        <v>10.6</v>
      </c>
      <c r="G23" s="146">
        <v>0.12</v>
      </c>
      <c r="H23" s="147">
        <f>=D23*C23/G23/1.09</f>
        <v>34711.3914373089</v>
      </c>
      <c r="I23" s="148">
        <v>130000</v>
      </c>
      <c r="J23" s="147">
        <f>=(I23-H23)*G23*1.09</f>
        <v>12463.75</v>
      </c>
      <c r="K23" s="145">
        <f>=D23+E23+F23</f>
        <v>335.6</v>
      </c>
      <c r="L23" s="139">
        <f>=(D23+E23+F23)*C23</f>
        <v>5540.756</v>
      </c>
      <c r="M23" s="139">
        <f>=K23*C23+MAX(J23,0)</f>
        <v>18004.506</v>
      </c>
      <c r="N23" s="148">
        <v>80000</v>
      </c>
      <c r="O23" s="147">
        <f>=(N23-H23)*G23*1.09</f>
        <v>5923.75</v>
      </c>
      <c r="P23" s="139">
        <f>=K23*C23+MAX(O23,0)</f>
        <v>11464.506</v>
      </c>
      <c r="Q23" s="139">
        <f>=M23*12</f>
        <v>216054.072</v>
      </c>
      <c r="R23" s="125">
        <f>=C23*D23</f>
        <v>4540.25</v>
      </c>
      <c r="S23" s="125">
        <f>=E23*C23</f>
        <v>825.5</v>
      </c>
      <c r="T23" s="125">
        <f>=F23*C23</f>
        <v>175.006</v>
      </c>
      <c r="U23" s="125" t="s"/>
      <c r="V23" s="125" t="s"/>
    </row>
    <row r="24" spans="1:22" ht="15.5" customHeight="1">
      <c r="A24" s="149" t="s">
        <v>72</v>
      </c>
      <c r="B24" s="142" t="s">
        <v>73</v>
      </c>
      <c r="C24" s="142">
        <v>17.59</v>
      </c>
      <c r="D24" s="150">
        <v>275</v>
      </c>
      <c r="E24" s="145">
        <v>50</v>
      </c>
      <c r="F24" s="145">
        <v>10.6</v>
      </c>
      <c r="G24" s="146">
        <v>0</v>
      </c>
      <c r="H24" s="151">
        <v>0</v>
      </c>
      <c r="I24" s="152">
        <v>0</v>
      </c>
      <c r="J24" s="147">
        <f>=(I24-H24)*G24*1.09</f>
        <v>0</v>
      </c>
      <c r="K24" s="145">
        <f>=D24+E24+F24</f>
        <v>335.6</v>
      </c>
      <c r="L24" s="139">
        <f>=(D24+E24+F24)*C24</f>
        <v>5903.204</v>
      </c>
      <c r="M24" s="139">
        <f>=K24*C24+MAX(J24,0)</f>
        <v>5903.204</v>
      </c>
      <c r="N24" s="148">
        <v>80000</v>
      </c>
      <c r="O24" s="147">
        <f>=(N24-H24)*G24*1.09</f>
        <v>0</v>
      </c>
      <c r="P24" s="139">
        <f>=K24*C24+MAX(O24,0)</f>
        <v>5903.204</v>
      </c>
      <c r="Q24" s="139">
        <f>=M24*12</f>
        <v>70838.448</v>
      </c>
      <c r="R24" s="125">
        <f>=C24*D24</f>
        <v>4837.25</v>
      </c>
      <c r="S24" s="125">
        <f>=E24*C24</f>
        <v>879.5</v>
      </c>
      <c r="T24" s="125">
        <f>=F24*C24</f>
        <v>186.454</v>
      </c>
      <c r="U24" s="125" t="s"/>
      <c r="V24" s="125" t="s"/>
    </row>
    <row r="25" spans="1:22" ht="15.5" customHeight="1">
      <c r="A25" s="142" t="s">
        <v>235</v>
      </c>
      <c r="B25" s="142" t="s">
        <v>77</v>
      </c>
      <c r="C25" s="142">
        <v>11.33</v>
      </c>
      <c r="D25" s="144">
        <v>335</v>
      </c>
      <c r="E25" s="145">
        <v>50</v>
      </c>
      <c r="F25" s="145">
        <v>10.6</v>
      </c>
      <c r="G25" s="146">
        <v>0.11</v>
      </c>
      <c r="H25" s="147">
        <f>=D25*C25/G25/1.09</f>
        <v>31655.9633027523</v>
      </c>
      <c r="I25" s="148">
        <v>40000</v>
      </c>
      <c r="J25" s="147">
        <f>=(I25-H25)*G25*1.09</f>
        <v>1000.45</v>
      </c>
      <c r="K25" s="145">
        <f>=D25+E25+F25</f>
        <v>395.6</v>
      </c>
      <c r="L25" s="139">
        <f>=(D25+E25+F25)*C25</f>
        <v>4482.148</v>
      </c>
      <c r="M25" s="139">
        <f>=K25*C25+MAX(J25,0)</f>
        <v>5482.598</v>
      </c>
      <c r="N25" s="148">
        <v>70000</v>
      </c>
      <c r="O25" s="147">
        <f>=(N25-H25)*G25*1.09</f>
        <v>4597.45</v>
      </c>
      <c r="P25" s="139">
        <f>=K25*C25+MAX(O25,0)</f>
        <v>9079.598</v>
      </c>
      <c r="Q25" s="139">
        <f>=M25*12</f>
        <v>65791.176</v>
      </c>
      <c r="R25" s="125">
        <f>=C25*D25</f>
        <v>3795.55</v>
      </c>
      <c r="S25" s="125">
        <f>=E25*C25</f>
        <v>566.5</v>
      </c>
      <c r="T25" s="125">
        <f>=F25*C25</f>
        <v>120.098</v>
      </c>
      <c r="U25" s="125" t="s"/>
      <c r="V25" s="125" t="s"/>
    </row>
    <row r="26" spans="1:22" ht="15.5" customHeight="1">
      <c r="A26" s="142" t="s">
        <v>236</v>
      </c>
      <c r="B26" s="142" t="s">
        <v>79</v>
      </c>
      <c r="C26" s="142">
        <v>11.33</v>
      </c>
      <c r="D26" s="144">
        <v>335</v>
      </c>
      <c r="E26" s="145">
        <v>50</v>
      </c>
      <c r="F26" s="145">
        <v>10.6</v>
      </c>
      <c r="G26" s="146">
        <v>0.11</v>
      </c>
      <c r="H26" s="147">
        <f>=D26*C26/G26/1.09</f>
        <v>31655.9633027523</v>
      </c>
      <c r="I26" s="148">
        <v>40000</v>
      </c>
      <c r="J26" s="147">
        <f>=(I26-H26)*G26*1.09</f>
        <v>1000.45</v>
      </c>
      <c r="K26" s="145">
        <f>=D26+E26+F26</f>
        <v>395.6</v>
      </c>
      <c r="L26" s="139">
        <f>=(D26+E26+F26)*C26</f>
        <v>4482.148</v>
      </c>
      <c r="M26" s="139">
        <f>=K26*C26+MAX(J26,0)</f>
        <v>5482.598</v>
      </c>
      <c r="N26" s="148">
        <v>70000</v>
      </c>
      <c r="O26" s="147">
        <f>=(N26-H26)*G26*1.09</f>
        <v>4597.45</v>
      </c>
      <c r="P26" s="139">
        <f>=K26*C26+MAX(O26,0)</f>
        <v>9079.598</v>
      </c>
      <c r="Q26" s="139">
        <f>=M26*12</f>
        <v>65791.176</v>
      </c>
      <c r="R26" s="125">
        <f>=C26*D26</f>
        <v>3795.55</v>
      </c>
      <c r="S26" s="125">
        <f>=E26*C26</f>
        <v>566.5</v>
      </c>
      <c r="T26" s="125">
        <f>=F26*C26</f>
        <v>120.098</v>
      </c>
      <c r="U26" s="125" t="s"/>
      <c r="V26" s="125" t="s"/>
    </row>
    <row r="27" spans="1:22" ht="15.5" customHeight="1">
      <c r="A27" s="142" t="s">
        <v>237</v>
      </c>
      <c r="B27" s="142" t="s">
        <v>82</v>
      </c>
      <c r="C27" s="142">
        <v>11.75</v>
      </c>
      <c r="D27" s="144">
        <v>335</v>
      </c>
      <c r="E27" s="145">
        <v>50</v>
      </c>
      <c r="F27" s="145">
        <v>10.6</v>
      </c>
      <c r="G27" s="146">
        <v>0.11</v>
      </c>
      <c r="H27" s="147">
        <f>=D27*C27/G27/1.09</f>
        <v>32829.4412010008</v>
      </c>
      <c r="I27" s="148">
        <v>40000</v>
      </c>
      <c r="J27" s="147">
        <f>=(I27-H27)*G27*1.09</f>
        <v>859.750000000001</v>
      </c>
      <c r="K27" s="145">
        <f>=D27+E27+F27</f>
        <v>395.6</v>
      </c>
      <c r="L27" s="139">
        <f>=(D27+E27+F27)*C27</f>
        <v>4648.3</v>
      </c>
      <c r="M27" s="139">
        <f>=K27*C27+MAX(J27,0)</f>
        <v>5508.05</v>
      </c>
      <c r="N27" s="148">
        <v>70000</v>
      </c>
      <c r="O27" s="147">
        <f>=(N27-H27)*G27*1.09</f>
        <v>4456.75</v>
      </c>
      <c r="P27" s="139">
        <f>=K27*C27+MAX(O27,0)</f>
        <v>9105.05</v>
      </c>
      <c r="Q27" s="139">
        <f>=M27*12</f>
        <v>66096.6</v>
      </c>
      <c r="R27" s="125">
        <f>=C27*D27</f>
        <v>3936.25</v>
      </c>
      <c r="S27" s="125">
        <f>=E27*C27</f>
        <v>587.5</v>
      </c>
      <c r="T27" s="125">
        <f>=F27*C27</f>
        <v>124.55</v>
      </c>
      <c r="U27" s="125" t="s"/>
      <c r="V27" s="125" t="s"/>
    </row>
    <row r="28" spans="1:22" ht="15.5" customHeight="1">
      <c r="A28" s="142" t="s">
        <v>238</v>
      </c>
      <c r="B28" s="142" t="s">
        <v>84</v>
      </c>
      <c r="C28" s="142">
        <v>10.73</v>
      </c>
      <c r="D28" s="144">
        <v>335</v>
      </c>
      <c r="E28" s="145">
        <v>50</v>
      </c>
      <c r="F28" s="145">
        <v>10.6</v>
      </c>
      <c r="G28" s="146">
        <v>0.11</v>
      </c>
      <c r="H28" s="147">
        <f>=D28*C28/G28/1.09</f>
        <v>29979.5663052544</v>
      </c>
      <c r="I28" s="148">
        <v>50000</v>
      </c>
      <c r="J28" s="147">
        <f>=(I28-H28)*G28*1.09</f>
        <v>2400.45</v>
      </c>
      <c r="K28" s="145">
        <f>=D28+E28+F28</f>
        <v>395.6</v>
      </c>
      <c r="L28" s="139">
        <f>=(D28+E28+F28)*C28</f>
        <v>4244.788</v>
      </c>
      <c r="M28" s="139">
        <f>=K28*C28+MAX(J28,0)</f>
        <v>6645.238</v>
      </c>
      <c r="N28" s="148">
        <v>70000</v>
      </c>
      <c r="O28" s="147">
        <f>=(N28-H28)*G28*1.09</f>
        <v>4798.45</v>
      </c>
      <c r="P28" s="139">
        <f>=K28*C28+MAX(O28,0)</f>
        <v>9043.238</v>
      </c>
      <c r="Q28" s="139">
        <f>=M28*12</f>
        <v>79742.856</v>
      </c>
      <c r="R28" s="125">
        <f>=C28*D28</f>
        <v>3594.55</v>
      </c>
      <c r="S28" s="125">
        <f>=E28*C28</f>
        <v>536.5</v>
      </c>
      <c r="T28" s="125">
        <f>=F28*C28</f>
        <v>113.738</v>
      </c>
      <c r="U28" s="125" t="s"/>
      <c r="V28" s="125" t="s"/>
    </row>
    <row r="29" spans="1:22" ht="15.5" customHeight="1">
      <c r="A29" s="149" t="s">
        <v>239</v>
      </c>
      <c r="B29" s="142" t="s">
        <v>87</v>
      </c>
      <c r="C29" s="142">
        <v>13.65</v>
      </c>
      <c r="D29" s="150">
        <v>275</v>
      </c>
      <c r="E29" s="145">
        <v>50</v>
      </c>
      <c r="F29" s="145">
        <v>10.6</v>
      </c>
      <c r="G29" s="146">
        <v>0</v>
      </c>
      <c r="H29" s="151">
        <v>0</v>
      </c>
      <c r="I29" s="152">
        <v>0</v>
      </c>
      <c r="J29" s="147">
        <f>=(I29-H29)*G29*1.09</f>
        <v>0</v>
      </c>
      <c r="K29" s="145">
        <f>=D29+E29+F29</f>
        <v>335.6</v>
      </c>
      <c r="L29" s="139">
        <f>=(D29+E29+F29)*C29</f>
        <v>4580.94</v>
      </c>
      <c r="M29" s="139">
        <f>=K29*C29+MAX(J29,0)</f>
        <v>4580.94</v>
      </c>
      <c r="N29" s="148">
        <v>76000</v>
      </c>
      <c r="O29" s="147">
        <f>=(N29-H29)*G29*1.09</f>
        <v>0</v>
      </c>
      <c r="P29" s="139">
        <f>=K29*C29+MAX(O29,0)</f>
        <v>4580.94</v>
      </c>
      <c r="Q29" s="139">
        <f>=M29*12</f>
        <v>54971.28</v>
      </c>
      <c r="R29" s="125">
        <f>=C29*D29</f>
        <v>3753.75</v>
      </c>
      <c r="S29" s="125">
        <f>=E29*C29</f>
        <v>682.5</v>
      </c>
      <c r="T29" s="125">
        <f>=F29*C29</f>
        <v>144.69</v>
      </c>
      <c r="U29" s="125" t="s"/>
      <c r="V29" s="125" t="s"/>
    </row>
    <row r="30" spans="1:22" ht="15.5" customHeight="1">
      <c r="A30" s="149" t="s">
        <v>240</v>
      </c>
      <c r="B30" s="142" t="s">
        <v>91</v>
      </c>
      <c r="C30" s="142">
        <v>13.65</v>
      </c>
      <c r="D30" s="150">
        <v>275</v>
      </c>
      <c r="E30" s="145">
        <v>50</v>
      </c>
      <c r="F30" s="145">
        <v>10.6</v>
      </c>
      <c r="G30" s="146">
        <v>0</v>
      </c>
      <c r="H30" s="151">
        <v>0</v>
      </c>
      <c r="I30" s="152">
        <v>0</v>
      </c>
      <c r="J30" s="147">
        <f>=(I30-H30)*G30*1.09</f>
        <v>0</v>
      </c>
      <c r="K30" s="145">
        <f>=D30+E30+F30</f>
        <v>335.6</v>
      </c>
      <c r="L30" s="139">
        <f>=(D30+E30+F30)*C30</f>
        <v>4580.94</v>
      </c>
      <c r="M30" s="139">
        <f>=K30*C30+MAX(J30,0)</f>
        <v>4580.94</v>
      </c>
      <c r="N30" s="148">
        <v>76000</v>
      </c>
      <c r="O30" s="147">
        <f>=(N30-H30)*G30*1.09</f>
        <v>0</v>
      </c>
      <c r="P30" s="139">
        <f>=K30*C30+MAX(O30,0)</f>
        <v>4580.94</v>
      </c>
      <c r="Q30" s="139">
        <f>=M30*12</f>
        <v>54971.28</v>
      </c>
      <c r="R30" s="125">
        <f>=C30*D30</f>
        <v>3753.75</v>
      </c>
      <c r="S30" s="125">
        <f>=E30*C30</f>
        <v>682.5</v>
      </c>
      <c r="T30" s="125">
        <f>=F30*C30</f>
        <v>144.69</v>
      </c>
      <c r="U30" s="125" t="s"/>
      <c r="V30" s="125" t="s"/>
    </row>
    <row r="31" spans="1:22" ht="15.5" customHeight="1">
      <c r="A31" s="149" t="s">
        <v>92</v>
      </c>
      <c r="B31" s="142" t="s">
        <v>93</v>
      </c>
      <c r="C31" s="142">
        <v>16.52</v>
      </c>
      <c r="D31" s="144">
        <v>335</v>
      </c>
      <c r="E31" s="145">
        <v>50</v>
      </c>
      <c r="F31" s="145">
        <v>10.6</v>
      </c>
      <c r="G31" s="146">
        <v>0.12</v>
      </c>
      <c r="H31" s="147">
        <f>=D31*C31/G31/1.09</f>
        <v>42310.3975535168</v>
      </c>
      <c r="I31" s="148">
        <v>76000</v>
      </c>
      <c r="J31" s="147">
        <f>=(I31-H31)*G31*1.09</f>
        <v>4406.6</v>
      </c>
      <c r="K31" s="145">
        <f>=D31+E31+F31</f>
        <v>395.6</v>
      </c>
      <c r="L31" s="139">
        <f>=(D31+E31+F31)*C31</f>
        <v>6535.312</v>
      </c>
      <c r="M31" s="139">
        <f>=K31*C31+MAX(J31,0)</f>
        <v>10941.912</v>
      </c>
      <c r="N31" s="148">
        <v>90000</v>
      </c>
      <c r="O31" s="147">
        <f>=(N31-H31)*G31*1.09</f>
        <v>6237.8</v>
      </c>
      <c r="P31" s="139">
        <f>=K31*C31+MAX(O31,0)</f>
        <v>12773.112</v>
      </c>
      <c r="Q31" s="139">
        <f>=M31*12</f>
        <v>131302.944</v>
      </c>
      <c r="R31" s="125">
        <f>=C31*D31</f>
        <v>5534.2</v>
      </c>
      <c r="S31" s="125">
        <f>=E31*C31</f>
        <v>826</v>
      </c>
      <c r="T31" s="125">
        <f>=F31*C31</f>
        <v>175.112</v>
      </c>
      <c r="U31" s="125" t="s"/>
      <c r="V31" s="125" t="s"/>
    </row>
    <row r="32" spans="1:22" ht="15.5" customHeight="1">
      <c r="A32" s="149" t="s">
        <v>241</v>
      </c>
      <c r="B32" s="142" t="s">
        <v>95</v>
      </c>
      <c r="C32" s="142">
        <v>14.47</v>
      </c>
      <c r="D32" s="144">
        <v>335</v>
      </c>
      <c r="E32" s="145">
        <v>50</v>
      </c>
      <c r="F32" s="145">
        <v>10.6</v>
      </c>
      <c r="G32" s="146">
        <v>0.12</v>
      </c>
      <c r="H32" s="147">
        <f>=D32*C32/G32/1.09</f>
        <v>37060.0152905199</v>
      </c>
      <c r="I32" s="148">
        <v>76000</v>
      </c>
      <c r="J32" s="147">
        <f>=(I32-H32)*G32*1.09</f>
        <v>5093.35</v>
      </c>
      <c r="K32" s="145">
        <f>=D32+E32+F32</f>
        <v>395.6</v>
      </c>
      <c r="L32" s="139">
        <f>=(D32+E32+F32)*C32</f>
        <v>5724.332</v>
      </c>
      <c r="M32" s="139">
        <f>=K32*C32+MAX(J32,0)</f>
        <v>10817.682</v>
      </c>
      <c r="N32" s="148">
        <v>76000</v>
      </c>
      <c r="O32" s="147">
        <f>=(N32-H32)*G32*1.09</f>
        <v>5093.35</v>
      </c>
      <c r="P32" s="139">
        <f>=K32*C32+MAX(O32,0)</f>
        <v>10817.682</v>
      </c>
      <c r="Q32" s="139">
        <f>=M32*12</f>
        <v>129812.184</v>
      </c>
      <c r="R32" s="125">
        <f>=C32*D32</f>
        <v>4847.45</v>
      </c>
      <c r="S32" s="125">
        <f>=E32*C32</f>
        <v>723.5</v>
      </c>
      <c r="T32" s="125">
        <f>=F32*C32</f>
        <v>153.382</v>
      </c>
      <c r="U32" s="125" t="s"/>
      <c r="V32" s="125" t="s"/>
    </row>
    <row r="33" spans="1:22" ht="15.5" customHeight="1">
      <c r="A33" s="149" t="s">
        <v>96</v>
      </c>
      <c r="B33" s="142" t="s">
        <v>97</v>
      </c>
      <c r="C33" s="142">
        <v>16.24</v>
      </c>
      <c r="D33" s="144">
        <v>335</v>
      </c>
      <c r="E33" s="145">
        <v>50</v>
      </c>
      <c r="F33" s="145">
        <v>10.6</v>
      </c>
      <c r="G33" s="146">
        <v>0.12</v>
      </c>
      <c r="H33" s="147">
        <f>=D33*C33/G33/1.09</f>
        <v>41593.2721712538</v>
      </c>
      <c r="I33" s="148">
        <v>76000</v>
      </c>
      <c r="J33" s="147">
        <f>=(I33-H33)*G33*1.09</f>
        <v>4500.4</v>
      </c>
      <c r="K33" s="145">
        <f>=D33+E33+F33</f>
        <v>395.6</v>
      </c>
      <c r="L33" s="139">
        <f>=(D33+E33+F33)*C33</f>
        <v>6424.544</v>
      </c>
      <c r="M33" s="139">
        <f>=K33*C33+MAX(J33,0)</f>
        <v>10924.944</v>
      </c>
      <c r="N33" s="148">
        <v>80000</v>
      </c>
      <c r="O33" s="147">
        <f>=(N33-H33)*G33*1.09</f>
        <v>5023.6</v>
      </c>
      <c r="P33" s="139">
        <f>=K33*C33+MAX(O33,0)</f>
        <v>11448.144</v>
      </c>
      <c r="Q33" s="139">
        <f>=M33*12</f>
        <v>131099.328</v>
      </c>
      <c r="R33" s="125">
        <f>=C33*D33</f>
        <v>5440.4</v>
      </c>
      <c r="S33" s="125">
        <f>=E33*C33</f>
        <v>812</v>
      </c>
      <c r="T33" s="125">
        <f>=F33*C33</f>
        <v>172.144</v>
      </c>
      <c r="U33" s="125" t="s"/>
      <c r="V33" s="125" t="s"/>
    </row>
    <row r="34" spans="1:22" ht="15.5" customHeight="1">
      <c r="A34" s="149" t="s">
        <v>98</v>
      </c>
      <c r="B34" s="142" t="s">
        <v>99</v>
      </c>
      <c r="C34" s="142">
        <v>14.8</v>
      </c>
      <c r="D34" s="144">
        <v>335</v>
      </c>
      <c r="E34" s="145">
        <v>50</v>
      </c>
      <c r="F34" s="145">
        <v>10.6</v>
      </c>
      <c r="G34" s="146">
        <v>0.12</v>
      </c>
      <c r="H34" s="147">
        <f>=D34*C34/G34/1.09</f>
        <v>37905.1987767584</v>
      </c>
      <c r="I34" s="148">
        <v>76000</v>
      </c>
      <c r="J34" s="147">
        <f>=(I34-H34)*G34*1.09</f>
        <v>4982.8</v>
      </c>
      <c r="K34" s="145">
        <f>=D34+E34+F34</f>
        <v>395.6</v>
      </c>
      <c r="L34" s="139">
        <f>=(D34+E34+F34)*C34</f>
        <v>5854.88</v>
      </c>
      <c r="M34" s="139">
        <f>=K34*C34+MAX(J34,0)</f>
        <v>10837.68</v>
      </c>
      <c r="N34" s="148">
        <v>80000</v>
      </c>
      <c r="O34" s="147">
        <f>=(N34-H34)*G34*1.09</f>
        <v>5506</v>
      </c>
      <c r="P34" s="139">
        <f>=K34*C34+MAX(O34,0)</f>
        <v>11360.88</v>
      </c>
      <c r="Q34" s="139">
        <f>=M34*12</f>
        <v>130052.16</v>
      </c>
      <c r="R34" s="125">
        <f>=C34*D34</f>
        <v>4958</v>
      </c>
      <c r="S34" s="125">
        <f>=E34*C34</f>
        <v>740</v>
      </c>
      <c r="T34" s="125">
        <f>=F34*C34</f>
        <v>156.88</v>
      </c>
      <c r="U34" s="125" t="s"/>
      <c r="V34" s="125" t="s"/>
    </row>
    <row r="35" spans="1:22" ht="15.5" customHeight="1">
      <c r="A35" s="149" t="s">
        <v>242</v>
      </c>
      <c r="B35" s="142" t="s">
        <v>101</v>
      </c>
      <c r="C35" s="142">
        <v>12.4</v>
      </c>
      <c r="D35" s="144">
        <v>335</v>
      </c>
      <c r="E35" s="145">
        <v>50</v>
      </c>
      <c r="F35" s="145">
        <v>10.6</v>
      </c>
      <c r="G35" s="146">
        <v>0.12</v>
      </c>
      <c r="H35" s="147">
        <f>=D35*C35/G35/1.09</f>
        <v>31758.4097859327</v>
      </c>
      <c r="I35" s="148">
        <v>76000</v>
      </c>
      <c r="J35" s="147">
        <f>=(I35-H35)*G35*1.09</f>
        <v>5786.8</v>
      </c>
      <c r="K35" s="145">
        <f>=D35+E35+F35</f>
        <v>395.6</v>
      </c>
      <c r="L35" s="139">
        <f>=(D35+E35+F35)*C35</f>
        <v>4905.44</v>
      </c>
      <c r="M35" s="139">
        <f>=K35*C35+MAX(J35,0)</f>
        <v>10692.24</v>
      </c>
      <c r="N35" s="148">
        <v>75000</v>
      </c>
      <c r="O35" s="147">
        <f>=(N35-H35)*G35*1.09</f>
        <v>5656</v>
      </c>
      <c r="P35" s="139">
        <f>=K35*C35+MAX(O35,0)</f>
        <v>10561.44</v>
      </c>
      <c r="Q35" s="139">
        <f>=M35*12</f>
        <v>128306.88</v>
      </c>
      <c r="R35" s="125">
        <f>=C35*D35</f>
        <v>4154</v>
      </c>
      <c r="S35" s="125">
        <f>=E35*C35</f>
        <v>620</v>
      </c>
      <c r="T35" s="125">
        <f>=F35*C35</f>
        <v>131.44</v>
      </c>
      <c r="U35" s="125" t="s"/>
      <c r="V35" s="125" t="s"/>
    </row>
    <row r="36" spans="1:22" ht="15.5" customHeight="1">
      <c r="A36" s="149" t="s">
        <v>243</v>
      </c>
      <c r="B36" s="142" t="s">
        <v>103</v>
      </c>
      <c r="C36" s="142">
        <v>15.2</v>
      </c>
      <c r="D36" s="144">
        <v>335</v>
      </c>
      <c r="E36" s="145">
        <v>50</v>
      </c>
      <c r="F36" s="145">
        <v>10.6</v>
      </c>
      <c r="G36" s="146">
        <v>0.12</v>
      </c>
      <c r="H36" s="147">
        <f>=D36*C36/G36/1.09</f>
        <v>38929.6636085627</v>
      </c>
      <c r="I36" s="148">
        <v>76000</v>
      </c>
      <c r="J36" s="147">
        <f>=(I36-H36)*G36*1.09</f>
        <v>4848.8</v>
      </c>
      <c r="K36" s="145">
        <f>=D36+E36+F36</f>
        <v>395.6</v>
      </c>
      <c r="L36" s="139">
        <f>=(D36+E36+F36)*C36</f>
        <v>6013.12</v>
      </c>
      <c r="M36" s="139">
        <f>=K36*C36+MAX(J36,0)</f>
        <v>10861.92</v>
      </c>
      <c r="N36" s="148">
        <v>80000</v>
      </c>
      <c r="O36" s="147">
        <f>=(N36-H36)*G36*1.09</f>
        <v>5372</v>
      </c>
      <c r="P36" s="139">
        <f>=K36*C36+MAX(O36,0)</f>
        <v>11385.12</v>
      </c>
      <c r="Q36" s="139">
        <f>=M36*12</f>
        <v>130343.04</v>
      </c>
      <c r="R36" s="125">
        <f>=C36*D36</f>
        <v>5092</v>
      </c>
      <c r="S36" s="125">
        <f>=E36*C36</f>
        <v>760</v>
      </c>
      <c r="T36" s="125">
        <f>=F36*C36</f>
        <v>161.12</v>
      </c>
      <c r="U36" s="125" t="s"/>
      <c r="V36" s="125" t="s"/>
    </row>
    <row r="37" spans="1:22" ht="15.5" customHeight="1">
      <c r="A37" s="149" t="s">
        <v>244</v>
      </c>
      <c r="B37" s="142" t="s">
        <v>106</v>
      </c>
      <c r="C37" s="142">
        <v>12.91</v>
      </c>
      <c r="D37" s="144">
        <v>335</v>
      </c>
      <c r="E37" s="145">
        <v>50</v>
      </c>
      <c r="F37" s="145">
        <v>10.6</v>
      </c>
      <c r="G37" s="146">
        <v>0.12</v>
      </c>
      <c r="H37" s="147">
        <f>=D37*C37/G37/1.09</f>
        <v>33064.6024464832</v>
      </c>
      <c r="I37" s="148">
        <v>76000</v>
      </c>
      <c r="J37" s="147">
        <f>=(I37-H37)*G37*1.09</f>
        <v>5615.95</v>
      </c>
      <c r="K37" s="145">
        <f>=D37+E37+F37</f>
        <v>395.6</v>
      </c>
      <c r="L37" s="139">
        <f>=(D37+E37+F37)*C37</f>
        <v>5107.196</v>
      </c>
      <c r="M37" s="139">
        <f>=K37*C37+MAX(J37,0)</f>
        <v>10723.146</v>
      </c>
      <c r="N37" s="148">
        <v>76000</v>
      </c>
      <c r="O37" s="147">
        <f>=(N37-H37)*G37*1.09</f>
        <v>5615.95</v>
      </c>
      <c r="P37" s="139">
        <f>=K37*C37+MAX(O37,0)</f>
        <v>10723.146</v>
      </c>
      <c r="Q37" s="139">
        <f>=M37*12</f>
        <v>128677.752</v>
      </c>
      <c r="R37" s="125">
        <f>=C37*D37</f>
        <v>4324.85</v>
      </c>
      <c r="S37" s="125">
        <f>=E37*C37</f>
        <v>645.5</v>
      </c>
      <c r="T37" s="125">
        <f>=F37*C37</f>
        <v>136.846</v>
      </c>
      <c r="U37" s="125" t="s"/>
      <c r="V37" s="125" t="s"/>
    </row>
    <row r="38" spans="1:22" ht="15.5" customHeight="1">
      <c r="A38" s="149" t="s">
        <v>245</v>
      </c>
      <c r="B38" s="142" t="s">
        <v>108</v>
      </c>
      <c r="C38" s="142">
        <v>15.38</v>
      </c>
      <c r="D38" s="150">
        <v>275</v>
      </c>
      <c r="E38" s="145">
        <v>50</v>
      </c>
      <c r="F38" s="145">
        <v>10.6</v>
      </c>
      <c r="G38" s="146">
        <v>0</v>
      </c>
      <c r="H38" s="147">
        <v>0</v>
      </c>
      <c r="I38" s="152">
        <v>0</v>
      </c>
      <c r="J38" s="147">
        <f>=(I38-H38)*G38*1.09</f>
        <v>0</v>
      </c>
      <c r="K38" s="145">
        <f>=D38+E38+F38</f>
        <v>335.6</v>
      </c>
      <c r="L38" s="139">
        <f>=(D38+E38+F38)*C38</f>
        <v>5161.528</v>
      </c>
      <c r="M38" s="139">
        <f>=K38*C38+MAX(J38,0)</f>
        <v>5161.528</v>
      </c>
      <c r="N38" s="148">
        <v>78000</v>
      </c>
      <c r="O38" s="147">
        <f>=(N38-H38)*G38*1.09</f>
        <v>0</v>
      </c>
      <c r="P38" s="139">
        <f>=K38*C38+MAX(O38,0)</f>
        <v>5161.528</v>
      </c>
      <c r="Q38" s="139">
        <f>=M38*12</f>
        <v>61938.336</v>
      </c>
      <c r="R38" s="125">
        <f>=C38*D38</f>
        <v>4229.5</v>
      </c>
      <c r="S38" s="125">
        <f>=E38*C38</f>
        <v>769</v>
      </c>
      <c r="T38" s="125">
        <f>=F38*C38</f>
        <v>163.028</v>
      </c>
      <c r="U38" s="125" t="s"/>
      <c r="V38" s="125" t="s"/>
    </row>
    <row r="39" spans="1:22" ht="15.5" customHeight="1">
      <c r="A39" s="149" t="s">
        <v>109</v>
      </c>
      <c r="B39" s="142" t="s">
        <v>112</v>
      </c>
      <c r="C39" s="142">
        <v>17.51</v>
      </c>
      <c r="D39" s="144">
        <v>335</v>
      </c>
      <c r="E39" s="145">
        <v>50</v>
      </c>
      <c r="F39" s="145">
        <v>10.6</v>
      </c>
      <c r="G39" s="146">
        <v>0.12</v>
      </c>
      <c r="H39" s="147">
        <f>=D39*C39/G39/1.09</f>
        <v>44845.9480122324</v>
      </c>
      <c r="I39" s="148">
        <v>80000</v>
      </c>
      <c r="J39" s="147">
        <f>=(I39-H39)*G39*1.09</f>
        <v>4598.15</v>
      </c>
      <c r="K39" s="145">
        <f>=D39+E39+F39</f>
        <v>395.6</v>
      </c>
      <c r="L39" s="139">
        <f>=(D39+E39+F39)*C39</f>
        <v>6926.956</v>
      </c>
      <c r="M39" s="139">
        <f>=K39*C39+MAX(J39,0)</f>
        <v>11525.106</v>
      </c>
      <c r="N39" s="148">
        <v>80000</v>
      </c>
      <c r="O39" s="147">
        <f>=(N39-H39)*G39*1.09</f>
        <v>4598.15</v>
      </c>
      <c r="P39" s="139">
        <f>=K39*C39+MAX(O39,0)</f>
        <v>11525.106</v>
      </c>
      <c r="Q39" s="139">
        <f>=M39*12</f>
        <v>138301.272</v>
      </c>
      <c r="R39" s="125">
        <f>=C39*D39</f>
        <v>5865.85</v>
      </c>
      <c r="S39" s="125">
        <f>=E39*C39</f>
        <v>875.5</v>
      </c>
      <c r="T39" s="125">
        <f>=F39*C39</f>
        <v>185.606</v>
      </c>
      <c r="U39" s="125" t="s"/>
      <c r="V39" s="125" t="s"/>
    </row>
    <row r="40" spans="1:22" ht="15.5" customHeight="1">
      <c r="A40" s="149" t="s">
        <v>111</v>
      </c>
      <c r="B40" s="142" t="s">
        <v>114</v>
      </c>
      <c r="C40" s="142">
        <v>17.83</v>
      </c>
      <c r="D40" s="144">
        <v>335</v>
      </c>
      <c r="E40" s="145">
        <v>50</v>
      </c>
      <c r="F40" s="145">
        <v>10.6</v>
      </c>
      <c r="G40" s="146">
        <v>0.12</v>
      </c>
      <c r="H40" s="147">
        <f>=D40*C40/G40/1.09</f>
        <v>45665.5198776758</v>
      </c>
      <c r="I40" s="148">
        <v>80000</v>
      </c>
      <c r="J40" s="147">
        <f>=(I40-H40)*G40*1.09</f>
        <v>4490.95</v>
      </c>
      <c r="K40" s="145">
        <f>=D40+E40+F40</f>
        <v>395.6</v>
      </c>
      <c r="L40" s="139">
        <f>=(D40+E40+F40)*C40</f>
        <v>7053.548</v>
      </c>
      <c r="M40" s="139">
        <f>=K40*C40+MAX(J40,0)</f>
        <v>11544.498</v>
      </c>
      <c r="N40" s="148">
        <v>80000</v>
      </c>
      <c r="O40" s="147">
        <f>=(N40-H40)*G40*1.09</f>
        <v>4490.95</v>
      </c>
      <c r="P40" s="139">
        <f>=K40*C40+MAX(O40,0)</f>
        <v>11544.498</v>
      </c>
      <c r="Q40" s="139">
        <f>=M40*12</f>
        <v>138533.976</v>
      </c>
      <c r="R40" s="125">
        <f>=C40*D40</f>
        <v>5973.05</v>
      </c>
      <c r="S40" s="125">
        <f>=E40*C40</f>
        <v>891.5</v>
      </c>
      <c r="T40" s="125">
        <f>=F40*C40</f>
        <v>188.998</v>
      </c>
      <c r="U40" s="125" t="s"/>
      <c r="V40" s="125" t="s"/>
    </row>
    <row r="41" spans="1:22" ht="15.5" customHeight="1">
      <c r="A41" s="149" t="s">
        <v>113</v>
      </c>
      <c r="B41" s="142" t="s">
        <v>246</v>
      </c>
      <c r="C41" s="142">
        <v>17.83</v>
      </c>
      <c r="D41" s="144">
        <v>335</v>
      </c>
      <c r="E41" s="145">
        <v>50</v>
      </c>
      <c r="F41" s="145">
        <v>10.6</v>
      </c>
      <c r="G41" s="146">
        <v>0.12</v>
      </c>
      <c r="H41" s="147">
        <f>=D41*C41/G41/1.09</f>
        <v>45665.5198776758</v>
      </c>
      <c r="I41" s="148">
        <v>80000</v>
      </c>
      <c r="J41" s="147">
        <f>=(I41-H41)*G41*1.09</f>
        <v>4490.95</v>
      </c>
      <c r="K41" s="145">
        <f>=D41+E41+F41</f>
        <v>395.6</v>
      </c>
      <c r="L41" s="139">
        <f>=(D41+E41+F41)*C41</f>
        <v>7053.548</v>
      </c>
      <c r="M41" s="139">
        <f>=K41*C41+MAX(J41,0)</f>
        <v>11544.498</v>
      </c>
      <c r="N41" s="148">
        <v>80000</v>
      </c>
      <c r="O41" s="147">
        <f>=(N41-H41)*G41*1.09</f>
        <v>4490.95</v>
      </c>
      <c r="P41" s="139">
        <f>=K41*C41+MAX(O41,0)</f>
        <v>11544.498</v>
      </c>
      <c r="Q41" s="139">
        <f>=M41*12</f>
        <v>138533.976</v>
      </c>
      <c r="R41" s="125">
        <f>=C41*D41</f>
        <v>5973.05</v>
      </c>
      <c r="S41" s="125">
        <f>=E41*C41</f>
        <v>891.5</v>
      </c>
      <c r="T41" s="125">
        <f>=F41*C41</f>
        <v>188.998</v>
      </c>
      <c r="U41" s="125" t="s"/>
      <c r="V41" s="125" t="s"/>
    </row>
    <row r="42" spans="1:22" ht="15.5" customHeight="1">
      <c r="A42" s="149" t="s">
        <v>247</v>
      </c>
      <c r="B42" s="142" t="s">
        <v>248</v>
      </c>
      <c r="C42" s="142">
        <v>40.53</v>
      </c>
      <c r="D42" s="144">
        <v>195</v>
      </c>
      <c r="E42" s="145">
        <v>50</v>
      </c>
      <c r="F42" s="145">
        <v>10.6</v>
      </c>
      <c r="G42" s="146">
        <v>0.12</v>
      </c>
      <c r="H42" s="147">
        <f>=D42*C42/G42/1.09</f>
        <v>60423.1651376147</v>
      </c>
      <c r="I42" s="148">
        <v>120000</v>
      </c>
      <c r="J42" s="147">
        <f>=(I42-H42)*G42*1.09</f>
        <v>7792.65</v>
      </c>
      <c r="K42" s="145">
        <f>=D42+E42+F42</f>
        <v>255.6</v>
      </c>
      <c r="L42" s="139">
        <f>=(D42+E42+F42)*C42</f>
        <v>10359.468</v>
      </c>
      <c r="M42" s="139">
        <f>=K42*C42+MAX(J42,0)</f>
        <v>18152.118</v>
      </c>
      <c r="N42" s="148">
        <v>150000</v>
      </c>
      <c r="O42" s="147">
        <f>=(N42-H42)*G42*1.09</f>
        <v>11716.65</v>
      </c>
      <c r="P42" s="139">
        <f>=K42*C42+MAX(O42,0)</f>
        <v>22076.118</v>
      </c>
      <c r="Q42" s="139">
        <f>=M42*12</f>
        <v>217825.416</v>
      </c>
      <c r="R42" s="125">
        <f>=C42*D42</f>
        <v>7903.35</v>
      </c>
      <c r="S42" s="125">
        <f>=E42*C42</f>
        <v>2026.5</v>
      </c>
      <c r="T42" s="125">
        <f>=F42*C42</f>
        <v>429.618</v>
      </c>
      <c r="U42" s="125" t="s"/>
      <c r="V42" s="125" t="s"/>
    </row>
    <row r="43" spans="1:22">
      <c r="A43" s="153" t="s">
        <v>230</v>
      </c>
      <c r="B43" s="153" t="s"/>
      <c r="C43" s="153">
        <f>=SUM(C20:C42)</f>
        <v>377.3</v>
      </c>
      <c r="D43" s="154">
        <f>=R43/C43</f>
        <v>294.427776305328</v>
      </c>
      <c r="E43" s="154">
        <f>=S43/C43</f>
        <v>50</v>
      </c>
      <c r="F43" s="154">
        <f>=T43/C43</f>
        <v>10.6</v>
      </c>
      <c r="G43" s="154" t="s"/>
      <c r="H43" s="154" t="s"/>
      <c r="I43" s="154" t="s"/>
      <c r="J43" s="155">
        <f>=SUMIF(J20:J42,"&gt;0")</f>
        <v>82927.75</v>
      </c>
      <c r="K43" s="154">
        <f>=M43/C43</f>
        <v>574.820381659157</v>
      </c>
      <c r="L43" s="153" t="s"/>
      <c r="M43" s="153">
        <f>=SUM(M20:M42)</f>
        <v>216879.73</v>
      </c>
      <c r="N43" s="153" t="s"/>
      <c r="O43" s="155">
        <f>=SUMIF(O20:O42,"&gt;0")</f>
        <v>102166.25</v>
      </c>
      <c r="P43" s="153">
        <f>=SUM(P20:P42)</f>
        <v>236118.23</v>
      </c>
      <c r="Q43" s="153">
        <f>=SUM(Q20:Q42)</f>
        <v>2602556.76</v>
      </c>
      <c r="R43" s="125">
        <f>=SUM(R20:R42)</f>
        <v>111087.6</v>
      </c>
      <c r="S43" s="125">
        <f>=SUM(S20:S42)</f>
        <v>18865</v>
      </c>
      <c r="T43" s="125">
        <f>=SUM(T20:T42)</f>
        <v>3999.38</v>
      </c>
      <c r="U43" s="125" t="s"/>
      <c r="V43" s="125" t="s"/>
    </row>
    <row r="44" spans="1:22">
      <c r="A44" s="125" t="s"/>
      <c r="B44" s="125" t="s"/>
      <c r="C44" s="125" t="s"/>
      <c r="D44" s="125" t="s"/>
      <c r="E44" s="125" t="s"/>
      <c r="F44" s="125" t="s"/>
      <c r="G44" s="125" t="s"/>
      <c r="H44" s="125" t="s"/>
      <c r="I44" s="125" t="s"/>
      <c r="J44" s="125" t="s"/>
      <c r="K44" s="125" t="s"/>
      <c r="L44" s="125" t="s"/>
      <c r="M44" s="125" t="s"/>
      <c r="N44" s="125" t="s"/>
      <c r="O44" s="125" t="s"/>
      <c r="P44" s="125" t="s"/>
      <c r="Q44" s="125" t="s"/>
      <c r="R44" s="125" t="s"/>
      <c r="S44" s="125" t="s"/>
      <c r="T44" s="125" t="s"/>
      <c r="U44" s="125" t="s"/>
      <c r="V44" s="125" t="s"/>
    </row>
    <row r="45" spans="1:22">
      <c r="A45" s="140" t="s">
        <v>249</v>
      </c>
      <c r="R45" s="125" t="s"/>
      <c r="S45" s="125" t="s"/>
      <c r="T45" s="125" t="s"/>
      <c r="U45" s="125" t="s"/>
      <c r="V45" s="125" t="s"/>
    </row>
    <row r="46" spans="1:22">
      <c r="A46" s="140" t="s">
        <v>202</v>
      </c>
      <c r="B46" s="140" t="s">
        <v>203</v>
      </c>
      <c r="C46" s="140" t="s">
        <v>204</v>
      </c>
      <c r="D46" s="140" t="s">
        <v>205</v>
      </c>
      <c r="E46" s="140" t="s">
        <v>206</v>
      </c>
      <c r="F46" s="140" t="s">
        <v>207</v>
      </c>
      <c r="G46" s="140" t="s"/>
      <c r="H46" s="140" t="s"/>
      <c r="I46" s="140" t="s"/>
      <c r="J46" s="140" t="s"/>
      <c r="K46" s="140" t="s">
        <v>208</v>
      </c>
      <c r="L46" s="140" t="s">
        <v>209</v>
      </c>
      <c r="M46" s="140" t="s">
        <v>210</v>
      </c>
      <c r="N46" s="140" t="s"/>
      <c r="O46" s="140" t="s"/>
      <c r="P46" s="140" t="s"/>
      <c r="Q46" s="140" t="s">
        <v>211</v>
      </c>
      <c r="R46" s="125" t="s"/>
      <c r="S46" s="125" t="s"/>
      <c r="T46" s="125" t="s"/>
      <c r="U46" s="125" t="s"/>
      <c r="V46" s="125" t="s"/>
    </row>
    <row r="47" spans="3:22">
      <c r="C47" s="140" t="s">
        <v>212</v>
      </c>
      <c r="D47" s="140" t="s">
        <v>213</v>
      </c>
      <c r="E47" s="140" t="s">
        <v>213</v>
      </c>
      <c r="F47" s="140" t="s">
        <v>213</v>
      </c>
      <c r="G47" s="140" t="s">
        <v>214</v>
      </c>
      <c r="H47" s="140" t="s">
        <v>215</v>
      </c>
      <c r="I47" s="140" t="s">
        <v>250</v>
      </c>
      <c r="J47" s="140" t="s">
        <v>251</v>
      </c>
      <c r="N47" s="140" t="s"/>
      <c r="O47" s="140" t="s"/>
      <c r="P47" s="140" t="s"/>
      <c r="R47" s="125" t="s">
        <v>220</v>
      </c>
      <c r="S47" s="125" t="s">
        <v>221</v>
      </c>
      <c r="T47" s="125" t="s">
        <v>222</v>
      </c>
      <c r="U47" s="125" t="s">
        <v>252</v>
      </c>
      <c r="V47" s="125" t="s"/>
    </row>
    <row r="48" spans="1:22">
      <c r="A48" s="156" t="s">
        <v>118</v>
      </c>
      <c r="B48" s="145" t="s">
        <v>117</v>
      </c>
      <c r="C48" s="145">
        <v>142.42</v>
      </c>
      <c r="D48" s="145">
        <v>55</v>
      </c>
      <c r="E48" s="145">
        <v>20</v>
      </c>
      <c r="F48" s="145">
        <v>10.6</v>
      </c>
      <c r="G48" s="157">
        <v>0.08</v>
      </c>
      <c r="H48" s="147">
        <f>=D48*C48/G48/1.09</f>
        <v>89829.128440367</v>
      </c>
      <c r="I48" s="158">
        <v>50000</v>
      </c>
      <c r="J48" s="147">
        <f>=(I48-H48)*G48*1.09</f>
        <v>-3473.1</v>
      </c>
      <c r="K48" s="145">
        <f>=D48+E48+F48</f>
        <v>85.6</v>
      </c>
      <c r="L48" s="139">
        <f>=(D48+E48+F48)*C48</f>
        <v>12191.152</v>
      </c>
      <c r="M48" s="139">
        <f>=K48*C48+MAX(J48,0)</f>
        <v>12191.152</v>
      </c>
      <c r="N48" s="139" t="s"/>
      <c r="O48" s="139" t="s"/>
      <c r="P48" s="139" t="s"/>
      <c r="Q48" s="139">
        <f>=M48*12</f>
        <v>146293.824</v>
      </c>
      <c r="R48" s="125">
        <f>=C48*D48</f>
        <v>7833.1</v>
      </c>
      <c r="S48" s="125">
        <f>=E48*C48</f>
        <v>2848.4</v>
      </c>
      <c r="T48" s="125">
        <f>=F48*C48</f>
        <v>1509.652</v>
      </c>
      <c r="U48" s="159">
        <v>46387</v>
      </c>
      <c r="V48" s="125" t="s"/>
    </row>
    <row r="49" spans="1:22">
      <c r="A49" s="145" t="s">
        <v>120</v>
      </c>
      <c r="B49" s="145" t="s">
        <v>119</v>
      </c>
      <c r="C49" s="145">
        <v>119.87</v>
      </c>
      <c r="D49" s="142">
        <v>55</v>
      </c>
      <c r="E49" s="142">
        <v>20</v>
      </c>
      <c r="F49" s="145">
        <v>5</v>
      </c>
      <c r="G49" s="157">
        <v>0.09</v>
      </c>
      <c r="H49" s="147">
        <f>=D49*C49/G49/1.09</f>
        <v>67205.4026503568</v>
      </c>
      <c r="I49" s="158">
        <v>80000</v>
      </c>
      <c r="J49" s="147">
        <f>=(I49-H49)*G49*1.09</f>
        <v>1255.15</v>
      </c>
      <c r="K49" s="145">
        <f>=D49+E49+F49</f>
        <v>80</v>
      </c>
      <c r="L49" s="139">
        <f>=(D49+E49+F49)*C49</f>
        <v>9589.6</v>
      </c>
      <c r="M49" s="139">
        <f>=K49*C49+MAX(J49,0)</f>
        <v>10844.75</v>
      </c>
      <c r="N49" s="139" t="s"/>
      <c r="O49" s="139" t="s"/>
      <c r="P49" s="139" t="s"/>
      <c r="Q49" s="139">
        <f>=M49*12</f>
        <v>130137</v>
      </c>
      <c r="R49" s="125">
        <f>=C49*D49</f>
        <v>6592.85</v>
      </c>
      <c r="S49" s="125">
        <f>=E49*C49</f>
        <v>2397.4</v>
      </c>
      <c r="T49" s="125">
        <f>=F49*C49</f>
        <v>599.35</v>
      </c>
      <c r="U49" s="159">
        <v>46586</v>
      </c>
      <c r="V49" s="125" t="s"/>
    </row>
    <row r="50" spans="1:22">
      <c r="A50" s="145" t="s">
        <v>123</v>
      </c>
      <c r="B50" s="145" t="s">
        <v>122</v>
      </c>
      <c r="C50" s="145">
        <v>62.56</v>
      </c>
      <c r="D50" s="142">
        <v>200</v>
      </c>
      <c r="E50" s="142">
        <v>50</v>
      </c>
      <c r="F50" s="145">
        <v>10.6</v>
      </c>
      <c r="G50" s="146">
        <v>0.125</v>
      </c>
      <c r="H50" s="147">
        <f>=D50*C50/G50/1.09</f>
        <v>91831.1926605505</v>
      </c>
      <c r="I50" s="158">
        <v>120000</v>
      </c>
      <c r="J50" s="147">
        <f>=(I50-H50)*G50*1.09</f>
        <v>3838</v>
      </c>
      <c r="K50" s="145">
        <f>=D50+E50+F50</f>
        <v>260.6</v>
      </c>
      <c r="L50" s="139">
        <f>=(D50+E50+F50)*C50</f>
        <v>16303.136</v>
      </c>
      <c r="M50" s="139">
        <f>=K50*C50+MAX(J50,0)</f>
        <v>20141.136</v>
      </c>
      <c r="N50" s="139" t="s"/>
      <c r="O50" s="139" t="s"/>
      <c r="P50" s="139" t="s"/>
      <c r="Q50" s="139">
        <f>=M50*12</f>
        <v>241693.632</v>
      </c>
      <c r="R50" s="125">
        <f>=C50*D50</f>
        <v>12512</v>
      </c>
      <c r="S50" s="125">
        <f>=E50*C50</f>
        <v>3128</v>
      </c>
      <c r="T50" s="125">
        <f>=F50*C50</f>
        <v>663.136</v>
      </c>
      <c r="U50" s="159">
        <v>46151</v>
      </c>
      <c r="V50" s="125" t="s"/>
    </row>
    <row r="51" spans="1:22">
      <c r="A51" s="145" t="s">
        <v>126</v>
      </c>
      <c r="B51" s="145" t="s">
        <v>125</v>
      </c>
      <c r="C51" s="145">
        <v>148.01</v>
      </c>
      <c r="D51" s="142">
        <v>130</v>
      </c>
      <c r="E51" s="142">
        <v>50</v>
      </c>
      <c r="F51" s="145">
        <v>10.6</v>
      </c>
      <c r="G51" s="157">
        <v>0.12</v>
      </c>
      <c r="H51" s="147">
        <f>=D51*C51/G51/1.09</f>
        <v>147104.740061162</v>
      </c>
      <c r="I51" s="158">
        <v>120000</v>
      </c>
      <c r="J51" s="147">
        <f>=(I51-H51)*G51*1.09</f>
        <v>-3545.3</v>
      </c>
      <c r="K51" s="145">
        <f>=D51+E51+F51</f>
        <v>190.6</v>
      </c>
      <c r="L51" s="139">
        <f>=(D51+E51+F51)*C51</f>
        <v>28210.706</v>
      </c>
      <c r="M51" s="139">
        <f>=K51*C51+MAX(J51,0)</f>
        <v>28210.706</v>
      </c>
      <c r="N51" s="139" t="s"/>
      <c r="O51" s="139" t="s"/>
      <c r="P51" s="139" t="s"/>
      <c r="Q51" s="139">
        <f>=M51*12</f>
        <v>338528.472</v>
      </c>
      <c r="R51" s="125">
        <f>=C51*D51</f>
        <v>19241.3</v>
      </c>
      <c r="S51" s="125">
        <f>=E51*C51</f>
        <v>7400.5</v>
      </c>
      <c r="T51" s="125">
        <f>=F51*C51</f>
        <v>1568.906</v>
      </c>
      <c r="U51" s="159">
        <v>46341</v>
      </c>
      <c r="V51" s="125" t="s"/>
    </row>
    <row r="52" spans="1:22">
      <c r="A52" s="156" t="s">
        <v>253</v>
      </c>
      <c r="B52" s="145" t="s">
        <v>127</v>
      </c>
      <c r="C52" s="145">
        <v>65.3</v>
      </c>
      <c r="D52" s="145">
        <v>65</v>
      </c>
      <c r="E52" s="142">
        <v>30</v>
      </c>
      <c r="F52" s="145">
        <v>10.6</v>
      </c>
      <c r="G52" s="157">
        <v>0.06</v>
      </c>
      <c r="H52" s="147">
        <f>=D52*C52/G52/1.09</f>
        <v>64900.6116207951</v>
      </c>
      <c r="I52" s="158">
        <v>100000</v>
      </c>
      <c r="J52" s="147">
        <f>=(I52-H52)*G52*1.09</f>
        <v>2295.5</v>
      </c>
      <c r="K52" s="145">
        <f>=D52+E52+F52</f>
        <v>105.6</v>
      </c>
      <c r="L52" s="139">
        <f>=(D52+E52+F52)*C52</f>
        <v>6895.68</v>
      </c>
      <c r="M52" s="139">
        <f>=K52*C52+MAX(J52,0)</f>
        <v>9191.18</v>
      </c>
      <c r="N52" s="139" t="s"/>
      <c r="O52" s="139" t="s"/>
      <c r="P52" s="139" t="s"/>
      <c r="Q52" s="139">
        <f>=M52*12</f>
        <v>110294.16</v>
      </c>
      <c r="R52" s="125">
        <f>=C52*D52</f>
        <v>4244.5</v>
      </c>
      <c r="S52" s="125">
        <f>=E52*C52</f>
        <v>1959</v>
      </c>
      <c r="T52" s="125">
        <f>=F52*C52</f>
        <v>692.18</v>
      </c>
      <c r="U52" s="125" t="s"/>
      <c r="V52" s="125" t="s"/>
    </row>
    <row r="53" spans="1:22">
      <c r="A53" s="156" t="s">
        <v>253</v>
      </c>
      <c r="B53" s="145" t="s">
        <v>129</v>
      </c>
      <c r="C53" s="145">
        <v>140.27</v>
      </c>
      <c r="D53" s="145">
        <v>65</v>
      </c>
      <c r="E53" s="142">
        <v>30</v>
      </c>
      <c r="F53" s="145">
        <v>10.6</v>
      </c>
      <c r="G53" s="157">
        <v>0.06</v>
      </c>
      <c r="H53" s="147">
        <f>=D53*C53/G53/1.09</f>
        <v>139412.079510703</v>
      </c>
      <c r="I53" s="158">
        <v>200000</v>
      </c>
      <c r="J53" s="147">
        <f>=(I53-H53)*G53*1.09</f>
        <v>3962.45</v>
      </c>
      <c r="K53" s="145">
        <f>=D53+E53+F53</f>
        <v>105.6</v>
      </c>
      <c r="L53" s="139">
        <f>=(D53+E53+F53)*C53</f>
        <v>14812.512</v>
      </c>
      <c r="M53" s="139">
        <f>=K53*C53+MAX(J53,0)</f>
        <v>18774.962</v>
      </c>
      <c r="N53" s="139" t="s"/>
      <c r="O53" s="139" t="s"/>
      <c r="P53" s="139" t="s"/>
      <c r="Q53" s="139">
        <f>=M53*12</f>
        <v>225299.544</v>
      </c>
      <c r="R53" s="125">
        <f>=C53*D53</f>
        <v>9117.55</v>
      </c>
      <c r="S53" s="125">
        <f>=E53*C53</f>
        <v>4208.1</v>
      </c>
      <c r="T53" s="125">
        <f>=F53*C53</f>
        <v>1486.862</v>
      </c>
      <c r="U53" s="125" t="s"/>
      <c r="V53" s="125" t="s"/>
    </row>
    <row r="54" spans="1:22">
      <c r="A54" s="156" t="s">
        <v>253</v>
      </c>
      <c r="B54" s="145" t="s">
        <v>131</v>
      </c>
      <c r="C54" s="145">
        <v>99.41</v>
      </c>
      <c r="D54" s="145">
        <v>65</v>
      </c>
      <c r="E54" s="142">
        <v>30</v>
      </c>
      <c r="F54" s="145">
        <v>10.6</v>
      </c>
      <c r="G54" s="157">
        <v>0.06</v>
      </c>
      <c r="H54" s="147">
        <f>=D54*C54/G54/1.09</f>
        <v>98801.9877675841</v>
      </c>
      <c r="I54" s="158">
        <v>100000</v>
      </c>
      <c r="J54" s="147">
        <f>=(I54-H54)*G54*1.09</f>
        <v>78.35</v>
      </c>
      <c r="K54" s="145">
        <f>=D54+E54+F54</f>
        <v>105.6</v>
      </c>
      <c r="L54" s="139">
        <f>=(D54+E54+F54)*C54</f>
        <v>10497.696</v>
      </c>
      <c r="M54" s="139">
        <f>=K54*C54+MAX(J54,0)</f>
        <v>10576.046</v>
      </c>
      <c r="N54" s="139" t="s"/>
      <c r="O54" s="139" t="s"/>
      <c r="P54" s="139" t="s"/>
      <c r="Q54" s="139">
        <f>=M54*12</f>
        <v>126912.552</v>
      </c>
      <c r="R54" s="125">
        <f>=C54*D54</f>
        <v>6461.65</v>
      </c>
      <c r="S54" s="125">
        <f>=E54*C54</f>
        <v>2982.3</v>
      </c>
      <c r="T54" s="125">
        <f>=F54*C54</f>
        <v>1053.746</v>
      </c>
      <c r="U54" s="125" t="s"/>
      <c r="V54" s="125" t="s"/>
    </row>
    <row r="55" spans="1:22">
      <c r="A55" s="156" t="s">
        <v>254</v>
      </c>
      <c r="B55" s="145" t="s">
        <v>134</v>
      </c>
      <c r="C55" s="145">
        <v>70.39</v>
      </c>
      <c r="D55" s="145">
        <v>150</v>
      </c>
      <c r="E55" s="142">
        <v>50</v>
      </c>
      <c r="F55" s="145">
        <v>10.6</v>
      </c>
      <c r="G55" s="157">
        <v>0.1</v>
      </c>
      <c r="H55" s="147">
        <f>=D55*C55/G55/1.09</f>
        <v>96866.9724770642</v>
      </c>
      <c r="I55" s="158">
        <v>150000</v>
      </c>
      <c r="J55" s="147">
        <f>=(I55-H55)*G55*1.09</f>
        <v>5791.5</v>
      </c>
      <c r="K55" s="145">
        <f>=D55+E55+F55</f>
        <v>210.6</v>
      </c>
      <c r="L55" s="139">
        <f>=(D55+E55+F55)*C55</f>
        <v>14824.134</v>
      </c>
      <c r="M55" s="139">
        <f>=K55*C55+MAX(J55,0)</f>
        <v>20615.634</v>
      </c>
      <c r="N55" s="139" t="s"/>
      <c r="O55" s="139" t="s"/>
      <c r="P55" s="139" t="s"/>
      <c r="Q55" s="139">
        <f>=M55*12</f>
        <v>247387.608</v>
      </c>
      <c r="R55" s="125">
        <f>=C55*D55</f>
        <v>10558.5</v>
      </c>
      <c r="S55" s="125">
        <f>=E55*C55</f>
        <v>3519.5</v>
      </c>
      <c r="T55" s="125">
        <f>=F55*C55</f>
        <v>746.134</v>
      </c>
      <c r="U55" s="125" t="s"/>
      <c r="V55" s="125" t="s"/>
    </row>
    <row r="56" spans="1:22">
      <c r="A56" s="145" t="s">
        <v>137</v>
      </c>
      <c r="B56" s="145" t="s">
        <v>255</v>
      </c>
      <c r="C56" s="145">
        <v>74.22</v>
      </c>
      <c r="D56" s="142">
        <v>123.05</v>
      </c>
      <c r="E56" s="142">
        <v>50</v>
      </c>
      <c r="F56" s="145">
        <v>5</v>
      </c>
      <c r="G56" s="157">
        <v>0.06</v>
      </c>
      <c r="H56" s="147">
        <f>=D56*C56/G56/1.09</f>
        <v>139644.816513761</v>
      </c>
      <c r="I56" s="158">
        <v>150000</v>
      </c>
      <c r="J56" s="147">
        <f>=(I56-H56)*G56*1.09</f>
        <v>677.229000000002</v>
      </c>
      <c r="K56" s="145">
        <f>=D56+E56+F56</f>
        <v>178.05</v>
      </c>
      <c r="L56" s="139">
        <f>=(D56+E56+F56)*C56</f>
        <v>13214.871</v>
      </c>
      <c r="M56" s="139">
        <f>=K56*C56+MAX(J56,0)</f>
        <v>13892.1</v>
      </c>
      <c r="N56" s="139" t="s"/>
      <c r="O56" s="139" t="s"/>
      <c r="P56" s="139" t="s"/>
      <c r="Q56" s="139">
        <f>=M56*12</f>
        <v>166705.2</v>
      </c>
      <c r="R56" s="125">
        <f>=C56*D56</f>
        <v>9132.771</v>
      </c>
      <c r="S56" s="125">
        <f>=E56*C56</f>
        <v>3711</v>
      </c>
      <c r="T56" s="125">
        <f>=F56*C56</f>
        <v>371.1</v>
      </c>
      <c r="U56" s="159">
        <v>46385</v>
      </c>
      <c r="V56" s="125" t="s"/>
    </row>
    <row r="57" spans="1:22">
      <c r="A57" s="145" t="s">
        <v>137</v>
      </c>
      <c r="B57" s="145" t="s">
        <v>256</v>
      </c>
      <c r="C57" s="145">
        <v>80.63</v>
      </c>
      <c r="D57" s="142">
        <v>123.05</v>
      </c>
      <c r="E57" s="142">
        <v>50</v>
      </c>
      <c r="F57" s="145">
        <v>5</v>
      </c>
      <c r="G57" s="157">
        <v>0.06</v>
      </c>
      <c r="H57" s="147">
        <f>=D57*C57/G57/1.09</f>
        <v>151705.221712538</v>
      </c>
      <c r="I57" s="158">
        <v>150000</v>
      </c>
      <c r="J57" s="147">
        <f>=(I57-H57)*G57*1.09</f>
        <v>-111.521499999997</v>
      </c>
      <c r="K57" s="145">
        <f>=D57+E57+F57</f>
        <v>178.05</v>
      </c>
      <c r="L57" s="139">
        <f>=(D57+E57+F57)*C57</f>
        <v>14356.1715</v>
      </c>
      <c r="M57" s="139">
        <f>=K57*C57+MAX(J57,0)</f>
        <v>14356.1715</v>
      </c>
      <c r="N57" s="139" t="s"/>
      <c r="O57" s="139" t="s"/>
      <c r="P57" s="139" t="s"/>
      <c r="Q57" s="139">
        <f>=M57*12</f>
        <v>172274.058</v>
      </c>
      <c r="R57" s="125">
        <f>=C57*D57</f>
        <v>9921.5215</v>
      </c>
      <c r="S57" s="125">
        <f>=E57*C57</f>
        <v>4031.5</v>
      </c>
      <c r="T57" s="125">
        <f>=F57*C57</f>
        <v>403.15</v>
      </c>
      <c r="U57" s="159">
        <v>46385</v>
      </c>
      <c r="V57" s="125" t="s"/>
    </row>
    <row r="58" spans="1:22">
      <c r="A58" s="156" t="s">
        <v>257</v>
      </c>
      <c r="B58" s="145" t="s">
        <v>138</v>
      </c>
      <c r="C58" s="145">
        <v>95.24</v>
      </c>
      <c r="D58" s="142">
        <v>90</v>
      </c>
      <c r="E58" s="142">
        <v>50</v>
      </c>
      <c r="F58" s="145">
        <v>10.6</v>
      </c>
      <c r="G58" s="157">
        <v>0.08</v>
      </c>
      <c r="H58" s="147">
        <f>=D58*C58/G58/1.09</f>
        <v>98298.1651376147</v>
      </c>
      <c r="I58" s="158">
        <v>150000</v>
      </c>
      <c r="J58" s="147">
        <f>=(I58-H58)*G58*1.09</f>
        <v>4508.4</v>
      </c>
      <c r="K58" s="145">
        <f>=D58+E58+F58</f>
        <v>150.6</v>
      </c>
      <c r="L58" s="139">
        <f>=(D58+E58+F58)*C58</f>
        <v>14343.144</v>
      </c>
      <c r="M58" s="139">
        <f>=K58*C58+MAX(J58,0)</f>
        <v>18851.544</v>
      </c>
      <c r="N58" s="139" t="s"/>
      <c r="O58" s="139" t="s"/>
      <c r="P58" s="139" t="s"/>
      <c r="Q58" s="139">
        <f>=M58*12</f>
        <v>226218.528</v>
      </c>
      <c r="R58" s="125">
        <f>=C58*D58</f>
        <v>8571.6</v>
      </c>
      <c r="S58" s="125">
        <f>=E58*C58</f>
        <v>4762</v>
      </c>
      <c r="T58" s="125">
        <f>=F58*C58</f>
        <v>1009.544</v>
      </c>
      <c r="U58" s="159">
        <v>46148</v>
      </c>
      <c r="V58" s="125" t="s"/>
    </row>
    <row r="59" spans="1:22">
      <c r="A59" s="156" t="s">
        <v>258</v>
      </c>
      <c r="B59" s="145" t="s">
        <v>259</v>
      </c>
      <c r="C59" s="145">
        <v>34.86</v>
      </c>
      <c r="D59" s="145">
        <v>150</v>
      </c>
      <c r="E59" s="142">
        <v>50</v>
      </c>
      <c r="F59" s="145">
        <v>10.6</v>
      </c>
      <c r="G59" s="157">
        <v>0.11</v>
      </c>
      <c r="H59" s="147">
        <f>=D59*C59/G59/1.09</f>
        <v>43611.3427856547</v>
      </c>
      <c r="I59" s="158">
        <v>75000</v>
      </c>
      <c r="J59" s="147">
        <f>=(I59-H59)*G59*1.09</f>
        <v>3763.5</v>
      </c>
      <c r="K59" s="145">
        <f>=D59+E59+F59</f>
        <v>210.6</v>
      </c>
      <c r="L59" s="139">
        <f>=(D59+E59+F59)*C59</f>
        <v>7341.516</v>
      </c>
      <c r="M59" s="139">
        <f>=K59*C59+MAX(J59,0)</f>
        <v>11105.016</v>
      </c>
      <c r="N59" s="139" t="s"/>
      <c r="O59" s="139" t="s"/>
      <c r="P59" s="139" t="s"/>
      <c r="Q59" s="139">
        <f>=M59*12</f>
        <v>133260.192</v>
      </c>
      <c r="R59" s="125">
        <f>=C59*D59</f>
        <v>5229</v>
      </c>
      <c r="S59" s="125">
        <f>=E59*C59</f>
        <v>1743</v>
      </c>
      <c r="T59" s="125">
        <f>=F59*C59</f>
        <v>369.516</v>
      </c>
      <c r="U59" s="125" t="s"/>
      <c r="V59" s="125" t="s"/>
    </row>
    <row r="60" spans="1:22">
      <c r="A60" s="156" t="s">
        <v>258</v>
      </c>
      <c r="B60" s="145" t="s">
        <v>260</v>
      </c>
      <c r="C60" s="145">
        <v>31.59</v>
      </c>
      <c r="D60" s="145">
        <v>150</v>
      </c>
      <c r="E60" s="142">
        <v>50</v>
      </c>
      <c r="F60" s="145">
        <v>10.6</v>
      </c>
      <c r="G60" s="157">
        <v>0.11</v>
      </c>
      <c r="H60" s="147">
        <f>=D60*C60/G60/1.09</f>
        <v>39520.4336947456</v>
      </c>
      <c r="I60" s="158">
        <v>75000</v>
      </c>
      <c r="J60" s="147">
        <f>=(I60-H60)*G60*1.09</f>
        <v>4254</v>
      </c>
      <c r="K60" s="145">
        <f>=D60+E60+F60</f>
        <v>210.6</v>
      </c>
      <c r="L60" s="139">
        <f>=(D60+E60+F60)*C60</f>
        <v>6652.854</v>
      </c>
      <c r="M60" s="139">
        <f>=K60*C60+MAX(J60,0)</f>
        <v>10906.854</v>
      </c>
      <c r="N60" s="139" t="s"/>
      <c r="O60" s="139" t="s"/>
      <c r="P60" s="139" t="s"/>
      <c r="Q60" s="139">
        <f>=M60*12</f>
        <v>130882.248</v>
      </c>
      <c r="R60" s="125">
        <f>=C60*D60</f>
        <v>4738.5</v>
      </c>
      <c r="S60" s="125">
        <f>=E60*C60</f>
        <v>1579.5</v>
      </c>
      <c r="T60" s="125">
        <f>=F60*C60</f>
        <v>334.854</v>
      </c>
      <c r="U60" s="125" t="s"/>
      <c r="V60" s="125" t="s"/>
    </row>
    <row r="61" spans="1:22">
      <c r="A61" s="156" t="s">
        <v>261</v>
      </c>
      <c r="B61" s="145" t="s">
        <v>142</v>
      </c>
      <c r="C61" s="145">
        <v>84.65</v>
      </c>
      <c r="D61" s="142">
        <v>150</v>
      </c>
      <c r="E61" s="142">
        <v>50</v>
      </c>
      <c r="F61" s="145">
        <v>10.6</v>
      </c>
      <c r="G61" s="146">
        <v>0.08</v>
      </c>
      <c r="H61" s="147">
        <f>=D61*C61/G61/1.09</f>
        <v>145613.532110092</v>
      </c>
      <c r="I61" s="158">
        <v>100000</v>
      </c>
      <c r="J61" s="147">
        <f>=(I61-H61)*G61*1.09</f>
        <v>-3977.5</v>
      </c>
      <c r="K61" s="145">
        <f>=D61+E61+F61</f>
        <v>210.6</v>
      </c>
      <c r="L61" s="139">
        <f>=(D61+E61+F61)*C61</f>
        <v>17827.29</v>
      </c>
      <c r="M61" s="139">
        <f>=K61*C61+MAX(J61,0)</f>
        <v>17827.29</v>
      </c>
      <c r="N61" s="139" t="s"/>
      <c r="O61" s="139" t="s"/>
      <c r="P61" s="139" t="s"/>
      <c r="Q61" s="139">
        <f>=M61*12</f>
        <v>213927.48</v>
      </c>
      <c r="R61" s="125">
        <f>=C61*D61</f>
        <v>12697.5</v>
      </c>
      <c r="S61" s="125">
        <f>=E61*C61</f>
        <v>4232.5</v>
      </c>
      <c r="T61" s="125">
        <f>=F61*C61</f>
        <v>897.29</v>
      </c>
      <c r="U61" s="159">
        <v>46142</v>
      </c>
      <c r="V61" s="125" t="s"/>
    </row>
    <row r="62" spans="1:22">
      <c r="A62" s="145" t="s">
        <v>145</v>
      </c>
      <c r="B62" s="145" t="s">
        <v>144</v>
      </c>
      <c r="C62" s="145">
        <v>84.47</v>
      </c>
      <c r="D62" s="142">
        <v>138.8</v>
      </c>
      <c r="E62" s="142">
        <v>50</v>
      </c>
      <c r="F62" s="145">
        <v>10.6</v>
      </c>
      <c r="G62" s="146">
        <v>0.04</v>
      </c>
      <c r="H62" s="147">
        <f>=D62*C62/G62/1.09</f>
        <v>268909.082568807</v>
      </c>
      <c r="I62" s="158">
        <v>60000</v>
      </c>
      <c r="J62" s="147">
        <f>=(I62-H62)*G62*1.09</f>
        <v>-9108.436</v>
      </c>
      <c r="K62" s="145">
        <f>=D62+E62+F62</f>
        <v>199.4</v>
      </c>
      <c r="L62" s="139">
        <f>=(D62+E62+F62)*C62</f>
        <v>16843.318</v>
      </c>
      <c r="M62" s="139">
        <f>=K62*C62+MAX(J62,0)</f>
        <v>16843.318</v>
      </c>
      <c r="N62" s="139" t="s"/>
      <c r="O62" s="139" t="s"/>
      <c r="P62" s="139" t="s"/>
      <c r="Q62" s="139">
        <f>=M62*12</f>
        <v>202119.816</v>
      </c>
      <c r="R62" s="125">
        <f>=C62*D62</f>
        <v>11724.436</v>
      </c>
      <c r="S62" s="125">
        <f>=E62*C62</f>
        <v>4223.5</v>
      </c>
      <c r="T62" s="125">
        <f>=F62*C62</f>
        <v>895.382</v>
      </c>
      <c r="U62" s="159">
        <v>46265</v>
      </c>
      <c r="V62" s="125" t="s"/>
    </row>
    <row r="63" spans="1:22">
      <c r="A63" s="156" t="s">
        <v>262</v>
      </c>
      <c r="B63" s="145" t="s">
        <v>146</v>
      </c>
      <c r="C63" s="145">
        <v>62.25</v>
      </c>
      <c r="D63" s="142">
        <v>160</v>
      </c>
      <c r="E63" s="142">
        <v>50</v>
      </c>
      <c r="F63" s="145">
        <v>10.6</v>
      </c>
      <c r="G63" s="146">
        <v>0.12</v>
      </c>
      <c r="H63" s="147">
        <f>=D63*C63/G63/1.09</f>
        <v>76146.7889908257</v>
      </c>
      <c r="I63" s="158">
        <v>80000</v>
      </c>
      <c r="J63" s="147">
        <f>=(I63-H63)*G63*1.09</f>
        <v>504.000000000002</v>
      </c>
      <c r="K63" s="145">
        <f>=D63+E63+F63</f>
        <v>220.6</v>
      </c>
      <c r="L63" s="139">
        <f>=(D63+E63+F63)*C63</f>
        <v>13732.35</v>
      </c>
      <c r="M63" s="139">
        <f>=K63*C63+MAX(J63,0)</f>
        <v>14236.35</v>
      </c>
      <c r="N63" s="139" t="s"/>
      <c r="O63" s="139" t="s"/>
      <c r="P63" s="139" t="s"/>
      <c r="Q63" s="139">
        <f>=M63*12</f>
        <v>170836.2</v>
      </c>
      <c r="R63" s="125">
        <f>=C63*D63</f>
        <v>9960</v>
      </c>
      <c r="S63" s="125">
        <f>=E63*C63</f>
        <v>3112.5</v>
      </c>
      <c r="T63" s="125">
        <f>=F63*C63</f>
        <v>659.85</v>
      </c>
      <c r="U63" s="159">
        <v>46159</v>
      </c>
      <c r="V63" s="125" t="s"/>
    </row>
    <row r="64" spans="1:22">
      <c r="A64" s="156" t="s">
        <v>263</v>
      </c>
      <c r="B64" s="145" t="s">
        <v>148</v>
      </c>
      <c r="C64" s="145">
        <v>95.3</v>
      </c>
      <c r="D64" s="145">
        <v>100</v>
      </c>
      <c r="E64" s="142">
        <v>50</v>
      </c>
      <c r="F64" s="145">
        <v>10.6</v>
      </c>
      <c r="G64" s="146">
        <v>0.1</v>
      </c>
      <c r="H64" s="147">
        <f>=D64*C64/G64/1.09</f>
        <v>87431.1926605505</v>
      </c>
      <c r="I64" s="158">
        <v>150000</v>
      </c>
      <c r="J64" s="147">
        <f>=(I64-H64)*G64*1.09</f>
        <v>6820</v>
      </c>
      <c r="K64" s="145">
        <f>=D64+E64+F64</f>
        <v>160.6</v>
      </c>
      <c r="L64" s="139">
        <f>=(D64+E64+F64)*C64</f>
        <v>15305.18</v>
      </c>
      <c r="M64" s="139">
        <f>=K64*C64+MAX(J64,0)</f>
        <v>22125.18</v>
      </c>
      <c r="N64" s="139" t="s"/>
      <c r="O64" s="139" t="s"/>
      <c r="P64" s="139" t="s"/>
      <c r="Q64" s="139">
        <f>=M64*12</f>
        <v>265502.16</v>
      </c>
      <c r="R64" s="125">
        <f>=C64*D64</f>
        <v>9530</v>
      </c>
      <c r="S64" s="125">
        <f>=E64*C64</f>
        <v>4765</v>
      </c>
      <c r="T64" s="125">
        <f>=F64*C64</f>
        <v>1010.18</v>
      </c>
      <c r="U64" s="159">
        <v>46168</v>
      </c>
      <c r="V64" s="125" t="s"/>
    </row>
    <row r="65" spans="1:22">
      <c r="A65" s="156" t="s">
        <v>264</v>
      </c>
      <c r="B65" s="145" t="s">
        <v>265</v>
      </c>
      <c r="C65" s="145">
        <v>25.36</v>
      </c>
      <c r="D65" s="145">
        <v>500</v>
      </c>
      <c r="E65" s="142">
        <v>50</v>
      </c>
      <c r="F65" s="145">
        <v>10.6</v>
      </c>
      <c r="G65" s="146">
        <v>0.12</v>
      </c>
      <c r="H65" s="147">
        <f>=D65*C65/G65/1.09</f>
        <v>96941.8960244649</v>
      </c>
      <c r="I65" s="158">
        <v>120000</v>
      </c>
      <c r="J65" s="147">
        <f>=(I65-H65)*G65*1.09</f>
        <v>3016</v>
      </c>
      <c r="K65" s="145">
        <f>=D65+E65+F65</f>
        <v>560.6</v>
      </c>
      <c r="L65" s="139">
        <f>=(D65+E65+F65)*C65</f>
        <v>14216.816</v>
      </c>
      <c r="M65" s="139">
        <f>=K65*C65+MAX(J65,0)</f>
        <v>17232.816</v>
      </c>
      <c r="N65" s="139" t="s"/>
      <c r="O65" s="139" t="s"/>
      <c r="P65" s="139" t="s"/>
      <c r="Q65" s="139">
        <f>=M65*12</f>
        <v>206793.792</v>
      </c>
      <c r="R65" s="125">
        <f>=C65*D65</f>
        <v>12680</v>
      </c>
      <c r="S65" s="125">
        <f>=E65*C65</f>
        <v>1268</v>
      </c>
      <c r="T65" s="125">
        <f>=F65*C65</f>
        <v>268.816</v>
      </c>
      <c r="U65" s="159">
        <v>46203</v>
      </c>
      <c r="V65" s="125" t="s"/>
    </row>
    <row r="66" spans="1:22">
      <c r="A66" s="156" t="s">
        <v>266</v>
      </c>
      <c r="B66" s="145" t="s">
        <v>267</v>
      </c>
      <c r="C66" s="145">
        <v>85.87</v>
      </c>
      <c r="D66" s="145">
        <v>140</v>
      </c>
      <c r="E66" s="142">
        <v>50</v>
      </c>
      <c r="F66" s="145">
        <v>10.6</v>
      </c>
      <c r="G66" s="146">
        <v>0.11</v>
      </c>
      <c r="H66" s="147">
        <f>=D66*C66/G66/1.09</f>
        <v>100265.221017515</v>
      </c>
      <c r="I66" s="158">
        <v>120000</v>
      </c>
      <c r="J66" s="147">
        <f>=(I66-H66)*G66*1.09</f>
        <v>2366.2</v>
      </c>
      <c r="K66" s="145">
        <f>=D66+E66+F66</f>
        <v>200.6</v>
      </c>
      <c r="L66" s="139">
        <f>=(D66+E66+F66)*C66</f>
        <v>17225.522</v>
      </c>
      <c r="M66" s="139">
        <f>=K66*C66+MAX(J66,0)</f>
        <v>19591.722</v>
      </c>
      <c r="N66" s="139" t="s"/>
      <c r="O66" s="139" t="s"/>
      <c r="P66" s="139" t="s"/>
      <c r="Q66" s="139">
        <f>=M66*12</f>
        <v>235100.664</v>
      </c>
      <c r="R66" s="125">
        <f>=C66*D66</f>
        <v>12021.8</v>
      </c>
      <c r="S66" s="125">
        <f>=E66*C66</f>
        <v>4293.5</v>
      </c>
      <c r="T66" s="125">
        <f>=F66*C66</f>
        <v>910.222</v>
      </c>
      <c r="U66" s="159">
        <v>46275</v>
      </c>
      <c r="V66" s="125" t="s"/>
    </row>
    <row r="67" spans="1:22">
      <c r="A67" s="156" t="s">
        <v>268</v>
      </c>
      <c r="B67" s="145" t="s">
        <v>157</v>
      </c>
      <c r="C67" s="145">
        <v>96.44</v>
      </c>
      <c r="D67" s="145">
        <v>140</v>
      </c>
      <c r="E67" s="142">
        <v>50</v>
      </c>
      <c r="F67" s="145">
        <v>10.6</v>
      </c>
      <c r="G67" s="146">
        <v>0.11</v>
      </c>
      <c r="H67" s="147">
        <f>=D67*C67/G67/1.09</f>
        <v>112607.17264387</v>
      </c>
      <c r="I67" s="158">
        <v>120000</v>
      </c>
      <c r="J67" s="147">
        <f>=(I67-H67)*G67*1.09</f>
        <v>886.4</v>
      </c>
      <c r="K67" s="145">
        <f>=D67+E67+F67</f>
        <v>200.6</v>
      </c>
      <c r="L67" s="139">
        <f>=(D67+E67+F67)*C67</f>
        <v>19345.864</v>
      </c>
      <c r="M67" s="139">
        <f>=K67*C67+MAX(J67,0)</f>
        <v>20232.264</v>
      </c>
      <c r="N67" s="139" t="s"/>
      <c r="O67" s="139" t="s"/>
      <c r="P67" s="139" t="s"/>
      <c r="Q67" s="139">
        <f>=M67*12</f>
        <v>242787.168</v>
      </c>
      <c r="R67" s="125">
        <f>=C67*D67</f>
        <v>13501.6</v>
      </c>
      <c r="S67" s="125">
        <f>=E67*C67</f>
        <v>4822</v>
      </c>
      <c r="T67" s="125">
        <f>=F67*C67</f>
        <v>1022.264</v>
      </c>
      <c r="U67" s="159">
        <v>46335</v>
      </c>
      <c r="V67" s="125" t="s"/>
    </row>
    <row r="68" spans="1:22">
      <c r="A68" s="156" t="s">
        <v>269</v>
      </c>
      <c r="B68" s="145" t="s">
        <v>159</v>
      </c>
      <c r="C68" s="145">
        <v>107.66</v>
      </c>
      <c r="D68" s="145">
        <v>135</v>
      </c>
      <c r="E68" s="142">
        <v>50</v>
      </c>
      <c r="F68" s="145">
        <v>10.6</v>
      </c>
      <c r="G68" s="146">
        <v>0.11</v>
      </c>
      <c r="H68" s="147">
        <f>=D68*C68/G68/1.09</f>
        <v>121218.515429525</v>
      </c>
      <c r="I68" s="158">
        <v>120000</v>
      </c>
      <c r="J68" s="147">
        <f>=(I68-H68)*G68*1.09</f>
        <v>-146.1</v>
      </c>
      <c r="K68" s="145">
        <f>=D68+E68+F68</f>
        <v>195.6</v>
      </c>
      <c r="L68" s="139">
        <f>=(D68+E68+F68)*C68</f>
        <v>21058.296</v>
      </c>
      <c r="M68" s="139">
        <f>=K68*C68+MAX(J68,0)</f>
        <v>21058.296</v>
      </c>
      <c r="N68" s="139" t="s"/>
      <c r="O68" s="139" t="s"/>
      <c r="P68" s="139" t="s"/>
      <c r="Q68" s="139">
        <f>=M68*12</f>
        <v>252699.552</v>
      </c>
      <c r="R68" s="125">
        <f>=C68*D68</f>
        <v>14534.1</v>
      </c>
      <c r="S68" s="125">
        <f>=E68*C68</f>
        <v>5383</v>
      </c>
      <c r="T68" s="125">
        <f>=F68*C68</f>
        <v>1141.196</v>
      </c>
      <c r="U68" s="125" t="s"/>
      <c r="V68" s="125" t="s"/>
    </row>
    <row r="69" spans="1:22">
      <c r="A69" s="145" t="s">
        <v>163</v>
      </c>
      <c r="B69" s="145" t="s">
        <v>162</v>
      </c>
      <c r="C69" s="145">
        <v>86.48</v>
      </c>
      <c r="D69" s="142">
        <v>162</v>
      </c>
      <c r="E69" s="160">
        <v>60</v>
      </c>
      <c r="F69" s="145">
        <v>10.6</v>
      </c>
      <c r="G69" s="157">
        <v>0.14</v>
      </c>
      <c r="H69" s="147">
        <f>=D69*C69/G69/1.09</f>
        <v>91807.0773263434</v>
      </c>
      <c r="I69" s="158">
        <v>80000</v>
      </c>
      <c r="J69" s="147">
        <f>=(I69-H69)*G69*1.09</f>
        <v>-1801.76</v>
      </c>
      <c r="K69" s="145">
        <f>=D69+E69+F69</f>
        <v>232.6</v>
      </c>
      <c r="L69" s="139">
        <f>=(D69+E69+F69)*C69</f>
        <v>20115.248</v>
      </c>
      <c r="M69" s="139">
        <f>=K69*C69+MAX(J69,0)</f>
        <v>20115.248</v>
      </c>
      <c r="N69" s="139" t="s"/>
      <c r="O69" s="139" t="s"/>
      <c r="P69" s="139" t="s"/>
      <c r="Q69" s="139">
        <f>=M69*12</f>
        <v>241382.976</v>
      </c>
      <c r="R69" s="125">
        <f>=C69*D69</f>
        <v>14009.76</v>
      </c>
      <c r="S69" s="125">
        <f>=E69*C69</f>
        <v>5188.8</v>
      </c>
      <c r="T69" s="125">
        <f>=F69*C69</f>
        <v>916.688</v>
      </c>
      <c r="U69" s="159">
        <v>46139</v>
      </c>
      <c r="V69" s="125" t="s"/>
    </row>
    <row r="70" spans="1:22">
      <c r="A70" s="156" t="s">
        <v>270</v>
      </c>
      <c r="B70" s="145" t="s">
        <v>271</v>
      </c>
      <c r="C70" s="145">
        <v>113.02</v>
      </c>
      <c r="D70" s="145">
        <v>80</v>
      </c>
      <c r="E70" s="142">
        <v>50</v>
      </c>
      <c r="F70" s="145">
        <v>10.6</v>
      </c>
      <c r="G70" s="157">
        <v>0.06</v>
      </c>
      <c r="H70" s="147">
        <f>=D70*C70/G70/1.09</f>
        <v>138250.764525994</v>
      </c>
      <c r="I70" s="158">
        <v>150000</v>
      </c>
      <c r="J70" s="147">
        <f>=(I70-H70)*G70*1.09</f>
        <v>768.400000000001</v>
      </c>
      <c r="K70" s="145">
        <f>=D70+E70+F70</f>
        <v>140.6</v>
      </c>
      <c r="L70" s="139">
        <f>=(D70+E70+F70)*C70</f>
        <v>15890.612</v>
      </c>
      <c r="M70" s="139">
        <f>=K70*C70+MAX(J70,0)</f>
        <v>16659.012</v>
      </c>
      <c r="N70" s="139" t="s"/>
      <c r="O70" s="139" t="s"/>
      <c r="P70" s="139" t="s"/>
      <c r="Q70" s="139">
        <f>=M70*12</f>
        <v>199908.144</v>
      </c>
      <c r="R70" s="125">
        <f>=C70*D70</f>
        <v>9041.6</v>
      </c>
      <c r="S70" s="125">
        <f>=E70*C70</f>
        <v>5651</v>
      </c>
      <c r="T70" s="125">
        <f>=F70*C70</f>
        <v>1198.012</v>
      </c>
      <c r="U70" s="159">
        <v>46132</v>
      </c>
      <c r="V70" s="125" t="s"/>
    </row>
    <row r="71" spans="1:22">
      <c r="A71" s="156" t="s">
        <v>272</v>
      </c>
      <c r="B71" s="145" t="s">
        <v>273</v>
      </c>
      <c r="C71" s="145">
        <v>154.88</v>
      </c>
      <c r="D71" s="145">
        <v>80</v>
      </c>
      <c r="E71" s="142">
        <v>50</v>
      </c>
      <c r="F71" s="145">
        <v>10.6</v>
      </c>
      <c r="G71" s="157">
        <v>0.06</v>
      </c>
      <c r="H71" s="147">
        <f>=D71*C71/G71/1.09</f>
        <v>189455.657492355</v>
      </c>
      <c r="I71" s="158">
        <v>150000</v>
      </c>
      <c r="J71" s="147">
        <f>=(I71-H71)*G71*1.09</f>
        <v>-2580.4</v>
      </c>
      <c r="K71" s="145">
        <f>=D71+E71+F71</f>
        <v>140.6</v>
      </c>
      <c r="L71" s="139">
        <f>=(D71+E71+F71)*C71</f>
        <v>21776.128</v>
      </c>
      <c r="M71" s="139">
        <f>=K71*C71+MAX(J71,0)</f>
        <v>21776.128</v>
      </c>
      <c r="N71" s="139" t="s"/>
      <c r="O71" s="139" t="s"/>
      <c r="P71" s="139" t="s"/>
      <c r="Q71" s="139">
        <f>=M71*12</f>
        <v>261313.536</v>
      </c>
      <c r="R71" s="125">
        <f>=C71*D71</f>
        <v>12390.4</v>
      </c>
      <c r="S71" s="125">
        <f>=E71*C71</f>
        <v>7744</v>
      </c>
      <c r="T71" s="125">
        <f>=F71*C71</f>
        <v>1641.728</v>
      </c>
      <c r="U71" s="159">
        <v>46505</v>
      </c>
      <c r="V71" s="125" t="s"/>
    </row>
    <row r="72" spans="1:22">
      <c r="A72" s="156" t="s">
        <v>272</v>
      </c>
      <c r="B72" s="145" t="s">
        <v>169</v>
      </c>
      <c r="C72" s="145">
        <v>47.51</v>
      </c>
      <c r="D72" s="145">
        <v>80</v>
      </c>
      <c r="E72" s="142">
        <v>50</v>
      </c>
      <c r="F72" s="145">
        <v>10.6</v>
      </c>
      <c r="G72" s="157">
        <v>0.06</v>
      </c>
      <c r="H72" s="147">
        <f>=D72*C72/G72/1.09</f>
        <v>58116.2079510703</v>
      </c>
      <c r="I72" s="158">
        <v>150000</v>
      </c>
      <c r="J72" s="147">
        <f>=(I72-H72)*G72*1.09</f>
        <v>6009.2</v>
      </c>
      <c r="K72" s="145">
        <f>=D72+E72+F72</f>
        <v>140.6</v>
      </c>
      <c r="L72" s="139">
        <f>=(D72+E72+F72)*C72</f>
        <v>6679.906</v>
      </c>
      <c r="M72" s="139">
        <f>=K72*C72+MAX(J72,0)</f>
        <v>12689.106</v>
      </c>
      <c r="N72" s="139" t="s"/>
      <c r="O72" s="139" t="s"/>
      <c r="P72" s="139" t="s"/>
      <c r="Q72" s="139">
        <f>=M72*12</f>
        <v>152269.272</v>
      </c>
      <c r="R72" s="125">
        <f>=C72*D72</f>
        <v>3800.8</v>
      </c>
      <c r="S72" s="125">
        <f>=E72*C72</f>
        <v>2375.5</v>
      </c>
      <c r="T72" s="125">
        <f>=F72*C72</f>
        <v>503.606</v>
      </c>
      <c r="U72" s="159">
        <v>46505</v>
      </c>
      <c r="V72" s="125" t="s"/>
    </row>
    <row r="73" spans="1:22">
      <c r="A73" s="153" t="s">
        <v>230</v>
      </c>
      <c r="B73" s="153" t="s"/>
      <c r="C73" s="153">
        <f>=SUM(C48:C72)</f>
        <v>2208.66</v>
      </c>
      <c r="D73" s="154">
        <f>=R73/C73</f>
        <v>113.212010223393</v>
      </c>
      <c r="E73" s="154">
        <f>=S73/C73</f>
        <v>44.0672172267348</v>
      </c>
      <c r="F73" s="154">
        <f>=T73/C73</f>
        <v>9.90345458332202</v>
      </c>
      <c r="G73" s="154" t="s"/>
      <c r="H73" s="154" t="s"/>
      <c r="I73" s="154" t="s"/>
      <c r="J73" s="155">
        <f>=SUMIF(J48:J72,"&gt;0")</f>
        <v>50794.279</v>
      </c>
      <c r="K73" s="154">
        <f>=M73/C73</f>
        <v>190.180463040939</v>
      </c>
      <c r="L73" s="153" t="s"/>
      <c r="M73" s="153">
        <f>=SUM(M48:M72)</f>
        <v>420043.9815</v>
      </c>
      <c r="N73" s="153" t="s"/>
      <c r="O73" s="153" t="s"/>
      <c r="P73" s="153" t="s"/>
      <c r="Q73" s="153">
        <f>=SUM(Q48:Q72)</f>
        <v>5040527.778</v>
      </c>
      <c r="R73" s="125">
        <f>=SUM(R48:R72)</f>
        <v>250046.8385</v>
      </c>
      <c r="S73" s="125">
        <f>=SUM(S48:S72)</f>
        <v>97329.5</v>
      </c>
      <c r="T73" s="125">
        <f>=SUM(T48:T72)</f>
        <v>21873.364</v>
      </c>
      <c r="U73" s="125" t="s"/>
      <c r="V73" s="125" t="s"/>
    </row>
    <row r="74" spans="1:22">
      <c r="A74" s="125" t="s"/>
      <c r="B74" s="125" t="s"/>
      <c r="C74" s="125" t="s"/>
      <c r="D74" s="125" t="s"/>
      <c r="E74" s="125" t="s"/>
      <c r="F74" s="125" t="s"/>
      <c r="G74" s="125" t="s"/>
      <c r="H74" s="125" t="s"/>
      <c r="I74" s="125" t="s"/>
      <c r="J74" s="125" t="s"/>
      <c r="K74" s="125" t="s"/>
      <c r="L74" s="125" t="s"/>
      <c r="M74" s="125" t="s"/>
      <c r="N74" s="125" t="s"/>
      <c r="O74" s="125" t="s"/>
      <c r="P74" s="125" t="s"/>
      <c r="Q74" s="125" t="s"/>
      <c r="R74" s="125" t="s"/>
      <c r="S74" s="125" t="s"/>
      <c r="T74" s="125" t="s"/>
      <c r="U74" s="125" t="s"/>
      <c r="V74" s="125" t="s"/>
    </row>
    <row r="75" spans="1:22">
      <c r="A75" s="125" t="s"/>
      <c r="B75" s="125" t="s"/>
      <c r="C75" s="125" t="s"/>
      <c r="D75" s="125" t="s"/>
      <c r="E75" s="125" t="s"/>
      <c r="F75" s="125" t="s"/>
      <c r="G75" s="125" t="s"/>
      <c r="H75" s="125" t="s"/>
      <c r="I75" s="125" t="s"/>
      <c r="J75" s="125" t="s"/>
      <c r="K75" s="125" t="s"/>
      <c r="L75" s="125" t="s"/>
      <c r="M75" s="125" t="s"/>
      <c r="N75" s="125" t="s"/>
      <c r="O75" s="125" t="s"/>
      <c r="P75" s="125" t="s"/>
      <c r="Q75" s="125" t="s"/>
      <c r="R75" s="125" t="s"/>
      <c r="S75" s="125" t="s"/>
      <c r="T75" s="125" t="s"/>
      <c r="U75" s="125" t="s"/>
      <c r="V75" s="125" t="s"/>
    </row>
    <row r="76" spans="1:22">
      <c r="A76" s="140" t="s">
        <v>274</v>
      </c>
      <c r="B76" s="140" t="s">
        <v>204</v>
      </c>
      <c r="C76" s="140" t="s">
        <v>275</v>
      </c>
      <c r="D76" s="140" t="s">
        <v>206</v>
      </c>
      <c r="E76" s="140" t="s">
        <v>207</v>
      </c>
      <c r="F76" s="140" t="s">
        <v>276</v>
      </c>
      <c r="G76" s="140" t="s">
        <v>277</v>
      </c>
      <c r="H76" s="140" t="s">
        <v>278</v>
      </c>
      <c r="I76" s="140" t="s">
        <v>279</v>
      </c>
      <c r="J76" s="140" t="s">
        <v>280</v>
      </c>
      <c r="K76" s="140" t="s">
        <v>210</v>
      </c>
      <c r="L76" s="125" t="s"/>
      <c r="M76" s="125" t="s"/>
      <c r="N76" s="125" t="s"/>
      <c r="O76" s="125" t="s"/>
      <c r="P76" s="125" t="s"/>
      <c r="Q76" s="125" t="s"/>
      <c r="R76" s="125" t="s"/>
      <c r="S76" s="125" t="s"/>
      <c r="T76" s="125" t="s"/>
      <c r="U76" s="125" t="s"/>
      <c r="V76" s="125" t="s"/>
    </row>
    <row r="77" spans="2:22">
      <c r="B77" s="140" t="s">
        <v>212</v>
      </c>
      <c r="C77" s="140" t="s">
        <v>213</v>
      </c>
      <c r="D77" s="140" t="s">
        <v>213</v>
      </c>
      <c r="E77" s="140" t="s">
        <v>213</v>
      </c>
      <c r="F77" s="140" t="s">
        <v>213</v>
      </c>
      <c r="G77" s="140" t="s"/>
      <c r="L77" s="125" t="s">
        <v>220</v>
      </c>
      <c r="M77" s="125" t="s">
        <v>221</v>
      </c>
      <c r="N77" s="125" t="s">
        <v>222</v>
      </c>
      <c r="O77" s="125" t="s">
        <v>276</v>
      </c>
      <c r="P77" s="125" t="s">
        <v>277</v>
      </c>
      <c r="Q77" s="125" t="s"/>
      <c r="R77" s="125" t="s"/>
      <c r="S77" s="125" t="s"/>
      <c r="T77" s="125" t="s"/>
      <c r="U77" s="125" t="s"/>
      <c r="V77" s="125" t="s"/>
    </row>
    <row r="78" spans="1:22">
      <c r="A78" s="153" t="s">
        <v>281</v>
      </c>
      <c r="B78" s="154">
        <f>=C15</f>
        <v>4662.75</v>
      </c>
      <c r="C78" s="154">
        <f>=D15</f>
        <v>49.9576172859364</v>
      </c>
      <c r="D78" s="154">
        <f>=E15</f>
        <v>13.1776912766072</v>
      </c>
      <c r="E78" s="154">
        <f>=F15</f>
        <v>1.87784419066002</v>
      </c>
      <c r="F78" s="154">
        <f>=J15/C15</f>
        <v>1.16484906975497</v>
      </c>
      <c r="G78" s="161">
        <f>=O15/C15</f>
        <v>1.60440727038765</v>
      </c>
      <c r="H78" s="162">
        <f>=(L78+M78+N78)/B78</f>
        <v>65.0131527532036</v>
      </c>
      <c r="I78" s="162">
        <f>=(L78+M78+N78+O78)/B78</f>
        <v>66.1780018229586</v>
      </c>
      <c r="J78" s="162">
        <f>=(L78+M78+N78+O78+P78)/B78</f>
        <v>67.7824090933462</v>
      </c>
      <c r="K78" s="161">
        <f>=M15</f>
        <v>308571.478</v>
      </c>
      <c r="L78" s="163">
        <f>=C78*B78</f>
        <v>232939.88</v>
      </c>
      <c r="M78" s="163">
        <f>=D78*B78</f>
        <v>61444.28</v>
      </c>
      <c r="N78" s="163">
        <f>=E78*B78</f>
        <v>8755.918</v>
      </c>
      <c r="O78" s="163">
        <f>=F78*B78</f>
        <v>5431.4</v>
      </c>
      <c r="P78" s="125">
        <f>=G78*B78</f>
        <v>7480.95</v>
      </c>
      <c r="Q78" s="125" t="s"/>
      <c r="R78" s="125" t="s"/>
      <c r="S78" s="125" t="s"/>
      <c r="T78" s="125" t="s"/>
      <c r="U78" s="125" t="s"/>
      <c r="V78" s="125" t="s"/>
    </row>
    <row r="79" spans="1:22">
      <c r="A79" s="153" t="s">
        <v>282</v>
      </c>
      <c r="B79" s="154">
        <f>=C43</f>
        <v>377.3</v>
      </c>
      <c r="C79" s="154">
        <f>=D43</f>
        <v>294.427776305328</v>
      </c>
      <c r="D79" s="154">
        <f>=E43</f>
        <v>50</v>
      </c>
      <c r="E79" s="154">
        <f>=F43</f>
        <v>10.6</v>
      </c>
      <c r="F79" s="154">
        <f>=J43/C43</f>
        <v>219.79260535383</v>
      </c>
      <c r="G79" s="161">
        <f>=O43/C43</f>
        <v>270.782533792738</v>
      </c>
      <c r="H79" s="162">
        <f>=(L79+M79+N79)/B79</f>
        <v>355.027776305327</v>
      </c>
      <c r="I79" s="162">
        <f>=(L79+M79+N79+O79)/B79</f>
        <v>574.820381659157</v>
      </c>
      <c r="J79" s="162">
        <f>=(L79+M79+N79+O79+P79)/B79</f>
        <v>845.602915451895</v>
      </c>
      <c r="K79" s="161">
        <f>=M43</f>
        <v>216879.73</v>
      </c>
      <c r="L79" s="163">
        <f>=C79*B79</f>
        <v>111087.6</v>
      </c>
      <c r="M79" s="163">
        <f>=D79*B79</f>
        <v>18865</v>
      </c>
      <c r="N79" s="163">
        <f>=E79*B79</f>
        <v>3999.38</v>
      </c>
      <c r="O79" s="163">
        <f>=F79*B79</f>
        <v>82927.75</v>
      </c>
      <c r="P79" s="125">
        <f>=G79*B79</f>
        <v>102166.25</v>
      </c>
      <c r="Q79" s="125" t="s"/>
      <c r="R79" s="125" t="s"/>
      <c r="S79" s="125" t="s"/>
      <c r="T79" s="125" t="s"/>
      <c r="U79" s="125" t="s"/>
      <c r="V79" s="125" t="s"/>
    </row>
    <row r="80" spans="1:22">
      <c r="A80" s="153" t="s">
        <v>249</v>
      </c>
      <c r="B80" s="154">
        <f>=C73</f>
        <v>2208.66</v>
      </c>
      <c r="C80" s="154">
        <f>=D73</f>
        <v>113.212010223393</v>
      </c>
      <c r="D80" s="154">
        <f>=E73</f>
        <v>44.0672172267348</v>
      </c>
      <c r="E80" s="154">
        <f>=F73</f>
        <v>9.90345458332202</v>
      </c>
      <c r="F80" s="154">
        <f>=J73/C73</f>
        <v>22.9977810074887</v>
      </c>
      <c r="G80" s="161">
        <f>=J73/C73</f>
        <v>22.9977810074887</v>
      </c>
      <c r="H80" s="162">
        <f>=(L80+M80+N80)/B80</f>
        <v>167.18268203345</v>
      </c>
      <c r="I80" s="162">
        <f>=(L80+M80+N80+O80)/B80</f>
        <v>190.180463040939</v>
      </c>
      <c r="J80" s="162">
        <f>=(L80+M80+N80+O80+P80)/B80</f>
        <v>213.178244048428</v>
      </c>
      <c r="K80" s="161">
        <f>=M73</f>
        <v>420043.9815</v>
      </c>
      <c r="L80" s="163">
        <f>=C80*B80</f>
        <v>250046.8385</v>
      </c>
      <c r="M80" s="163">
        <f>=D80*B80</f>
        <v>97329.5</v>
      </c>
      <c r="N80" s="163">
        <f>=E80*B80</f>
        <v>21873.364</v>
      </c>
      <c r="O80" s="163">
        <f>=F80*B80</f>
        <v>50794.279</v>
      </c>
      <c r="P80" s="125">
        <f>=G80*B80</f>
        <v>50794.279</v>
      </c>
      <c r="Q80" s="125" t="s"/>
      <c r="R80" s="125" t="s"/>
      <c r="S80" s="125" t="s"/>
      <c r="T80" s="125" t="s"/>
      <c r="U80" s="125" t="s"/>
      <c r="V80" s="125" t="s"/>
    </row>
    <row r="81" spans="1:22">
      <c r="A81" s="153" t="s">
        <v>176</v>
      </c>
      <c r="B81" s="154">
        <f>=SUM(B78:B80)</f>
        <v>7248.71</v>
      </c>
      <c r="C81" s="154">
        <f>=L81/B81</f>
        <v>81.9558678026849</v>
      </c>
      <c r="D81" s="154">
        <f>=M81/B81</f>
        <v>24.5062611140465</v>
      </c>
      <c r="E81" s="154">
        <f>=N81/B81</f>
        <v>4.77721718760993</v>
      </c>
      <c r="F81" s="154">
        <f>=O81/B81</f>
        <v>19.1969921544661</v>
      </c>
      <c r="G81" s="161">
        <f>=P81/B81</f>
        <v>22.1337974618932</v>
      </c>
      <c r="H81" s="162">
        <f>=(L81+M81+N81)/B81</f>
        <v>111.239346104341</v>
      </c>
      <c r="I81" s="162">
        <f>=(L81+M81+N81+O81)/B81</f>
        <v>130.436338258807</v>
      </c>
      <c r="J81" s="162">
        <f>=(L81+M81+N81+O81+P81)/B81</f>
        <v>152.570135720701</v>
      </c>
      <c r="K81" s="161">
        <f>=SUM(K78:K80)</f>
        <v>945495.1895</v>
      </c>
      <c r="L81" s="163">
        <f>=SUM(L78:L80)</f>
        <v>594074.3185</v>
      </c>
      <c r="M81" s="163">
        <f>=SUM(M78:M80)</f>
        <v>177638.78</v>
      </c>
      <c r="N81" s="163">
        <f>=SUM(N78:N80)</f>
        <v>34628.662</v>
      </c>
      <c r="O81" s="163">
        <f>=SUM(O78:O80)</f>
        <v>139153.429</v>
      </c>
      <c r="P81" s="163">
        <f>=SUM(P78:P80)</f>
        <v>160441.479</v>
      </c>
      <c r="Q81" s="125" t="s"/>
      <c r="R81" s="125" t="s"/>
      <c r="S81" s="125" t="s"/>
      <c r="T81" s="125" t="s"/>
      <c r="U81" s="125" t="s"/>
      <c r="V81" s="125" t="s"/>
    </row>
    <row r="82" spans="1:22">
      <c r="A82" s="164" t="s">
        <v>283</v>
      </c>
      <c r="B82" s="164">
        <f>=B81-C14</f>
        <v>3411.99</v>
      </c>
      <c r="C82" s="154">
        <f>=L82/B82</f>
        <v>138.692563137641</v>
      </c>
      <c r="D82" s="154">
        <f>=M82/B82</f>
        <v>46.1595725661564</v>
      </c>
      <c r="E82" s="154">
        <f>=N82/B82</f>
        <v>10.1491100501467</v>
      </c>
      <c r="F82" s="154">
        <f>=O82/B82</f>
        <v>40.7836567516318</v>
      </c>
      <c r="G82" s="161">
        <f>=P82/B82</f>
        <v>47.0228456120915</v>
      </c>
      <c r="H82" s="162" t="s"/>
      <c r="I82" s="162">
        <f>=SUM(C82:F82)</f>
        <v>235.784902505576</v>
      </c>
      <c r="J82" s="162">
        <f>=SUM(C82:F82)</f>
        <v>235.784902505576</v>
      </c>
      <c r="K82" s="153" t="s"/>
      <c r="L82" s="125">
        <f>=L81-R14</f>
        <v>473217.6385</v>
      </c>
      <c r="M82" s="163">
        <f>=M81-S14</f>
        <v>157496</v>
      </c>
      <c r="N82" s="163">
        <f>=N81-T14</f>
        <v>34628.662</v>
      </c>
      <c r="O82" s="163">
        <f>=O81</f>
        <v>139153.429</v>
      </c>
      <c r="P82" s="163">
        <f>=P81</f>
        <v>160441.479</v>
      </c>
      <c r="Q82" s="125" t="s"/>
      <c r="R82" s="125" t="s"/>
      <c r="S82" s="125" t="s"/>
      <c r="T82" s="125" t="s"/>
      <c r="U82" s="125" t="s"/>
      <c r="V82" s="125" t="s"/>
    </row>
    <row r="83" spans="1:22">
      <c r="A83" s="125" t="s"/>
      <c r="B83" s="125" t="s"/>
      <c r="C83" s="125" t="s"/>
      <c r="D83" s="125" t="s"/>
      <c r="E83" s="163" t="s"/>
      <c r="F83" s="125" t="s"/>
      <c r="G83" s="125" t="s"/>
      <c r="H83" s="125" t="s"/>
      <c r="I83" s="125" t="s"/>
      <c r="J83" s="125" t="s"/>
      <c r="K83" s="125" t="s"/>
      <c r="L83" s="125" t="s"/>
      <c r="M83" s="125" t="s"/>
      <c r="N83" s="125" t="s"/>
      <c r="O83" s="125" t="s"/>
      <c r="P83" s="125" t="s"/>
      <c r="Q83" s="125" t="s"/>
      <c r="R83" s="125" t="s"/>
      <c r="S83" s="125" t="s"/>
      <c r="T83" s="125" t="s"/>
      <c r="U83" s="125" t="s"/>
      <c r="V83" s="125" t="s"/>
    </row>
    <row r="84" spans="1:22">
      <c r="A84" s="125" t="s"/>
      <c r="B84" s="125" t="s"/>
      <c r="C84" s="125" t="s"/>
      <c r="D84" s="125" t="s"/>
      <c r="E84" s="125" t="s"/>
      <c r="F84" s="125" t="s"/>
      <c r="G84" s="125" t="s"/>
      <c r="H84" s="125" t="s"/>
      <c r="I84" s="125" t="s"/>
      <c r="J84" s="125" t="s"/>
      <c r="K84" s="125" t="s"/>
      <c r="L84" s="125" t="s"/>
      <c r="M84" s="125" t="s"/>
      <c r="N84" s="125" t="s"/>
      <c r="O84" s="125" t="s"/>
      <c r="P84" s="125" t="s"/>
      <c r="Q84" s="125" t="s"/>
      <c r="R84" s="125" t="s"/>
      <c r="S84" s="125" t="s"/>
      <c r="T84" s="125" t="s"/>
      <c r="U84" s="125" t="s"/>
      <c r="V84" s="125" t="s"/>
    </row>
    <row r="85" spans="1:22">
      <c r="A85" s="125" t="s"/>
      <c r="B85" s="125" t="s"/>
      <c r="C85" s="125" t="s"/>
      <c r="D85" s="125" t="s"/>
      <c r="E85" s="125" t="s"/>
      <c r="F85" s="125" t="s"/>
      <c r="G85" s="125" t="s"/>
      <c r="H85" s="165" t="s"/>
      <c r="I85" s="165" t="s">
        <v>284</v>
      </c>
      <c r="J85" s="165" t="s">
        <v>285</v>
      </c>
      <c r="K85" s="165" t="s">
        <v>219</v>
      </c>
      <c r="L85" s="145" t="s">
        <v>208</v>
      </c>
      <c r="M85" s="125" t="s"/>
      <c r="N85" s="125" t="s"/>
      <c r="O85" s="125" t="s"/>
      <c r="P85" s="125" t="s"/>
      <c r="Q85" s="125" t="s"/>
      <c r="R85" s="125" t="s"/>
      <c r="S85" s="125" t="s"/>
      <c r="T85" s="125" t="s"/>
      <c r="U85" s="125" t="s"/>
      <c r="V85" s="125" t="s"/>
    </row>
    <row r="86" spans="1:22">
      <c r="A86" s="125" t="s"/>
      <c r="B86" s="166" t="s"/>
      <c r="C86" s="166" t="s">
        <v>286</v>
      </c>
      <c r="D86" s="166" t="s">
        <v>204</v>
      </c>
      <c r="E86" s="166" t="s">
        <v>287</v>
      </c>
      <c r="F86" s="125" t="s"/>
      <c r="G86" s="125" t="s"/>
      <c r="H86" s="165">
        <v>10.6</v>
      </c>
      <c r="I86" s="167">
        <f>=H81</f>
        <v>111.239346104341</v>
      </c>
      <c r="J86" s="167">
        <f>=I81</f>
        <v>130.436338258807</v>
      </c>
      <c r="K86" s="167">
        <f>=J81</f>
        <v>152.570135720701</v>
      </c>
      <c r="L86" s="125" t="s"/>
      <c r="M86" s="125" t="s"/>
      <c r="N86" s="125" t="s"/>
      <c r="O86" s="125" t="s"/>
      <c r="P86" s="125" t="s"/>
      <c r="Q86" s="125" t="s"/>
      <c r="R86" s="125" t="s"/>
      <c r="S86" s="125" t="s"/>
      <c r="T86" s="125" t="s"/>
      <c r="U86" s="125" t="s"/>
      <c r="V86" s="125" t="s"/>
    </row>
    <row r="87" spans="1:22">
      <c r="A87" s="125" t="s"/>
      <c r="B87" s="166" t="s">
        <v>288</v>
      </c>
      <c r="C87" s="166">
        <v>683927.5973</v>
      </c>
      <c r="D87" s="166">
        <v>9239.2</v>
      </c>
      <c r="E87" s="168">
        <v>74.024547287644</v>
      </c>
      <c r="F87" s="125" t="s"/>
      <c r="G87" s="125" t="s"/>
      <c r="H87" s="165">
        <v>5</v>
      </c>
      <c r="I87" s="167" t="e">
        <f>=[1]B1投资测算!P71</f>
        <v>#REF!</v>
      </c>
      <c r="J87" s="167" t="e">
        <f>=[1]B1投资测算!Q71</f>
        <v>#REF!</v>
      </c>
      <c r="K87" s="167" t="e">
        <f>=[1]B1投资测算!T71</f>
        <v>#REF!</v>
      </c>
      <c r="L87" s="125" t="s"/>
      <c r="M87" s="125" t="s"/>
      <c r="N87" s="125" t="s"/>
      <c r="O87" s="125" t="s"/>
      <c r="P87" s="125" t="s"/>
      <c r="Q87" s="125" t="s"/>
      <c r="R87" s="125" t="s"/>
      <c r="S87" s="125" t="s"/>
      <c r="T87" s="125" t="s"/>
      <c r="U87" s="125" t="s"/>
      <c r="V87" s="125" t="s"/>
    </row>
    <row r="88" spans="1:22">
      <c r="A88" s="125" t="s"/>
      <c r="B88" s="125" t="s">
        <v>289</v>
      </c>
      <c r="C88" s="125">
        <v>436237.7423</v>
      </c>
      <c r="D88" s="125">
        <v>2499.34</v>
      </c>
      <c r="E88" s="163">
        <v>174.541175790409</v>
      </c>
      <c r="F88" s="125" t="s"/>
      <c r="G88" s="125" t="s"/>
      <c r="H88" s="165" t="s">
        <v>290</v>
      </c>
      <c r="I88" s="165" t="e">
        <f>=I87-I86</f>
        <v>#REF!</v>
      </c>
      <c r="J88" s="167" t="e">
        <f>=J87-J86</f>
        <v>#REF!</v>
      </c>
      <c r="K88" s="167" t="e">
        <f>=K87-K86</f>
        <v>#REF!</v>
      </c>
      <c r="L88" s="125" t="s"/>
      <c r="M88" s="125" t="s"/>
      <c r="N88" s="125" t="s"/>
      <c r="O88" s="125" t="s"/>
      <c r="P88" s="125" t="s"/>
      <c r="Q88" s="125" t="s"/>
      <c r="R88" s="125" t="s"/>
      <c r="S88" s="125" t="s"/>
      <c r="T88" s="125" t="s"/>
      <c r="U88" s="125" t="s"/>
      <c r="V88" s="125" t="s"/>
    </row>
    <row r="89" spans="1:22">
      <c r="A89" s="125" t="s"/>
      <c r="B89" s="125" t="s">
        <v>291</v>
      </c>
      <c r="C89" s="125">
        <v>390109.6423</v>
      </c>
      <c r="D89" s="125">
        <v>1997.77</v>
      </c>
      <c r="E89" s="163">
        <v>195.272550043299</v>
      </c>
      <c r="F89" s="125" t="s"/>
      <c r="G89" s="125" t="s"/>
      <c r="H89" s="165" t="s">
        <v>292</v>
      </c>
      <c r="I89" s="169" t="e">
        <f>=I87/I86-1</f>
        <v>#REF!</v>
      </c>
      <c r="J89" s="169" t="e">
        <f>=J87/J86-1</f>
        <v>#REF!</v>
      </c>
      <c r="K89" s="169" t="e">
        <f>=K87/K86-1</f>
        <v>#REF!</v>
      </c>
      <c r="L89" s="125" t="s"/>
      <c r="M89" s="125" t="s"/>
      <c r="N89" s="125" t="s"/>
      <c r="O89" s="125" t="s"/>
      <c r="P89" s="125" t="s"/>
      <c r="Q89" s="125" t="s"/>
      <c r="R89" s="125" t="s"/>
      <c r="S89" s="125" t="s"/>
      <c r="T89" s="125" t="s"/>
      <c r="U89" s="125" t="s"/>
      <c r="V89" s="125" t="s"/>
    </row>
    <row r="90" spans="1:22">
      <c r="A90" s="125" t="s"/>
      <c r="B90" s="125" t="s">
        <v>293</v>
      </c>
      <c r="C90" s="125">
        <v>637799.4973</v>
      </c>
      <c r="D90" s="125">
        <v>8737.63</v>
      </c>
      <c r="E90" s="163">
        <v>72.9945645787245</v>
      </c>
      <c r="F90" s="125" t="s"/>
      <c r="G90" s="125" t="s"/>
      <c r="H90" s="125" t="s"/>
      <c r="I90" s="125" t="s"/>
      <c r="J90" s="125" t="s"/>
      <c r="K90" s="125" t="s"/>
      <c r="L90" s="125" t="s"/>
      <c r="M90" s="125" t="s"/>
      <c r="N90" s="125" t="s"/>
      <c r="O90" s="125" t="s"/>
      <c r="P90" s="125" t="s"/>
      <c r="Q90" s="125" t="s"/>
      <c r="R90" s="125" t="s"/>
      <c r="S90" s="125" t="s"/>
      <c r="T90" s="125" t="s"/>
      <c r="U90" s="125" t="s"/>
      <c r="V90" s="125" t="s"/>
    </row>
    <row r="91" spans="1:22">
      <c r="A91" s="125" t="s"/>
      <c r="B91" s="125" t="s"/>
      <c r="C91" s="125" t="s"/>
      <c r="D91" s="125" t="s"/>
      <c r="E91" s="125" t="s"/>
      <c r="F91" s="125" t="s"/>
      <c r="G91" s="125" t="s"/>
      <c r="H91" s="125" t="s"/>
      <c r="I91" s="125" t="s"/>
      <c r="J91" s="125" t="s"/>
      <c r="K91" s="125" t="s"/>
      <c r="L91" s="125" t="s"/>
      <c r="M91" s="125" t="s"/>
      <c r="N91" s="125" t="s"/>
      <c r="O91" s="125" t="s"/>
      <c r="P91" s="125" t="s"/>
      <c r="Q91" s="125" t="s"/>
      <c r="R91" s="125" t="s"/>
      <c r="S91" s="125" t="s"/>
      <c r="T91" s="125" t="s"/>
      <c r="U91" s="125" t="s"/>
      <c r="V91" s="125" t="s"/>
    </row>
    <row r="92" spans="1:22">
      <c r="A92" s="125" t="s"/>
      <c r="B92" s="125" t="s"/>
      <c r="C92" s="125" t="s"/>
      <c r="D92" s="125" t="s"/>
      <c r="E92" s="125" t="s"/>
      <c r="F92" s="125" t="s"/>
      <c r="G92" s="125" t="s"/>
      <c r="H92" s="125" t="s"/>
      <c r="I92" s="125" t="s"/>
      <c r="J92" s="125" t="s"/>
      <c r="K92" s="125" t="s"/>
      <c r="L92" s="125" t="s"/>
      <c r="M92" s="125" t="s"/>
      <c r="N92" s="125" t="s"/>
      <c r="O92" s="125" t="s"/>
      <c r="P92" s="125" t="s"/>
      <c r="Q92" s="125" t="s"/>
      <c r="R92" s="125" t="s"/>
      <c r="S92" s="125" t="s"/>
      <c r="T92" s="125" t="s"/>
      <c r="U92" s="125" t="s"/>
      <c r="V92" s="125" t="s"/>
    </row>
    <row r="93" spans="1:22">
      <c r="A93" s="125" t="s"/>
      <c r="B93" s="125" t="s"/>
      <c r="C93" s="125" t="s"/>
      <c r="D93" s="125" t="s"/>
      <c r="E93" s="125" t="s"/>
      <c r="F93" s="125" t="s"/>
      <c r="G93" s="125" t="s"/>
      <c r="H93" s="125" t="s"/>
      <c r="I93" s="125" t="s"/>
      <c r="J93" s="125" t="s"/>
      <c r="K93" s="125" t="s"/>
      <c r="L93" s="125" t="s"/>
      <c r="M93" s="125" t="s"/>
      <c r="N93" s="125" t="s"/>
      <c r="O93" s="125" t="s"/>
      <c r="P93" s="125" t="s"/>
      <c r="Q93" s="125" t="s"/>
      <c r="R93" s="125" t="s"/>
      <c r="S93" s="125" t="s"/>
      <c r="T93" s="125" t="s"/>
      <c r="U93" s="125" t="s"/>
      <c r="V93" s="125" t="s"/>
    </row>
    <row r="94" spans="1:22">
      <c r="A94" s="125" t="s"/>
      <c r="B94" s="125" t="s"/>
      <c r="C94" s="125" t="s"/>
      <c r="D94" s="125" t="s"/>
      <c r="E94" s="125" t="s"/>
      <c r="F94" s="125" t="s"/>
      <c r="G94" s="125" t="s"/>
      <c r="H94" s="125" t="s"/>
      <c r="I94" s="125" t="s"/>
      <c r="J94" s="125" t="s"/>
      <c r="K94" s="125" t="s"/>
      <c r="L94" s="125" t="s"/>
      <c r="M94" s="125" t="s"/>
      <c r="N94" s="125" t="s"/>
      <c r="O94" s="125" t="s"/>
      <c r="P94" s="125" t="s"/>
      <c r="Q94" s="125" t="s"/>
      <c r="R94" s="125" t="s"/>
      <c r="S94" s="125" t="s"/>
      <c r="T94" s="125" t="s"/>
      <c r="U94" s="125" t="s"/>
      <c r="V94" s="125" t="s"/>
    </row>
    <row r="95" spans="1:22">
      <c r="A95" s="125" t="s"/>
      <c r="B95" s="125" t="s"/>
      <c r="C95" s="125" t="s"/>
      <c r="D95" s="125" t="s"/>
      <c r="E95" s="125" t="s"/>
      <c r="F95" s="125" t="s"/>
      <c r="G95" s="125" t="s"/>
      <c r="H95" s="125" t="s"/>
      <c r="I95" s="125" t="s"/>
      <c r="J95" s="125" t="s"/>
      <c r="K95" s="125" t="s"/>
      <c r="L95" s="125" t="s"/>
      <c r="M95" s="125" t="s"/>
      <c r="N95" s="125" t="s"/>
      <c r="O95" s="125" t="s"/>
      <c r="P95" s="125" t="s"/>
      <c r="Q95" s="125" t="s"/>
      <c r="R95" s="125" t="s"/>
      <c r="S95" s="125" t="s"/>
      <c r="T95" s="125" t="s"/>
      <c r="U95" s="125" t="s"/>
      <c r="V95" s="125" t="s"/>
    </row>
    <row r="96" spans="1:22">
      <c r="A96" s="125" t="s"/>
      <c r="B96" s="125" t="s"/>
      <c r="C96" s="125" t="s"/>
      <c r="D96" s="125" t="s"/>
      <c r="E96" s="125" t="s"/>
      <c r="F96" s="125" t="s"/>
      <c r="G96" s="125" t="s"/>
      <c r="H96" s="125" t="s"/>
      <c r="I96" s="125" t="s"/>
      <c r="J96" s="125" t="s"/>
      <c r="K96" s="125" t="s"/>
      <c r="L96" s="125" t="s"/>
      <c r="M96" s="125" t="s"/>
      <c r="N96" s="125" t="s"/>
      <c r="O96" s="125" t="s"/>
      <c r="P96" s="125" t="s"/>
      <c r="Q96" s="125" t="s"/>
      <c r="R96" s="125" t="s"/>
      <c r="S96" s="125" t="s"/>
      <c r="T96" s="125" t="s"/>
      <c r="U96" s="125" t="s"/>
      <c r="V96" s="125" t="s"/>
    </row>
    <row r="97" spans="1:22">
      <c r="A97" s="125" t="s"/>
      <c r="B97" s="125" t="s"/>
      <c r="C97" s="125" t="s"/>
      <c r="D97" s="125" t="s"/>
      <c r="E97" s="125" t="s"/>
      <c r="F97" s="125" t="s"/>
      <c r="G97" s="125" t="s"/>
      <c r="H97" s="125" t="s"/>
      <c r="I97" s="125" t="s"/>
      <c r="J97" s="125" t="s"/>
      <c r="K97" s="125" t="s"/>
      <c r="L97" s="125" t="s"/>
      <c r="M97" s="125" t="s"/>
      <c r="N97" s="125" t="s"/>
      <c r="O97" s="125" t="s"/>
      <c r="P97" s="125" t="s"/>
      <c r="Q97" s="125" t="s"/>
      <c r="R97" s="125" t="s"/>
      <c r="S97" s="125" t="s"/>
      <c r="T97" s="125" t="s"/>
      <c r="U97" s="125" t="s"/>
      <c r="V97" s="125" t="s"/>
    </row>
    <row r="98" spans="1:22">
      <c r="A98" s="125" t="s"/>
      <c r="B98" s="125" t="s"/>
      <c r="C98" s="125" t="s"/>
      <c r="D98" s="125" t="s"/>
      <c r="E98" s="125" t="s"/>
      <c r="F98" s="125" t="s"/>
      <c r="G98" s="125" t="s"/>
      <c r="H98" s="125" t="s"/>
      <c r="I98" s="125" t="s"/>
      <c r="J98" s="125" t="s"/>
      <c r="K98" s="125" t="s"/>
      <c r="L98" s="125" t="s"/>
      <c r="M98" s="125" t="s"/>
      <c r="N98" s="125" t="s"/>
      <c r="O98" s="125" t="s"/>
      <c r="P98" s="125" t="s"/>
      <c r="Q98" s="125" t="s"/>
      <c r="R98" s="125" t="s"/>
      <c r="S98" s="125" t="s"/>
      <c r="T98" s="125" t="s"/>
      <c r="U98" s="125" t="s"/>
      <c r="V98" s="125" t="s"/>
    </row>
    <row r="99" spans="1:22">
      <c r="A99" s="125" t="s"/>
      <c r="B99" s="125" t="s"/>
      <c r="C99" s="125" t="s"/>
      <c r="D99" s="125" t="s"/>
      <c r="E99" s="125" t="s"/>
      <c r="F99" s="125" t="s"/>
      <c r="G99" s="125" t="s"/>
      <c r="H99" s="125" t="s"/>
      <c r="I99" s="125" t="s"/>
      <c r="J99" s="125" t="s"/>
      <c r="K99" s="125" t="s"/>
      <c r="L99" s="125" t="s"/>
      <c r="M99" s="125" t="s"/>
      <c r="N99" s="125" t="s"/>
      <c r="O99" s="125" t="s"/>
      <c r="P99" s="125" t="s"/>
      <c r="Q99" s="125" t="s"/>
      <c r="R99" s="125" t="s"/>
      <c r="S99" s="125" t="s"/>
      <c r="T99" s="125" t="s"/>
      <c r="U99" s="125" t="s"/>
      <c r="V99" s="125" t="s"/>
    </row>
    <row r="100" spans="1:22">
      <c r="A100" s="125" t="s"/>
      <c r="B100" s="125" t="s"/>
      <c r="C100" s="125" t="s"/>
      <c r="D100" s="125" t="s"/>
      <c r="E100" s="125" t="s"/>
      <c r="F100" s="125" t="s"/>
      <c r="G100" s="125" t="s"/>
      <c r="H100" s="125" t="s"/>
      <c r="I100" s="125" t="s"/>
      <c r="J100" s="125" t="s"/>
      <c r="K100" s="125" t="s"/>
      <c r="L100" s="125" t="s"/>
      <c r="M100" s="125" t="s"/>
      <c r="N100" s="125" t="s"/>
      <c r="O100" s="125" t="s"/>
      <c r="P100" s="125" t="s"/>
      <c r="Q100" s="125" t="s"/>
      <c r="R100" s="125" t="s"/>
      <c r="S100" s="125" t="s"/>
      <c r="T100" s="125" t="s"/>
      <c r="U100" s="125" t="s"/>
      <c r="V100" s="125" t="s"/>
    </row>
    <row r="101" spans="1:22">
      <c r="A101" s="125" t="s"/>
      <c r="B101" s="125" t="s"/>
      <c r="C101" s="125" t="s"/>
      <c r="D101" s="125" t="s"/>
      <c r="E101" s="125" t="s"/>
      <c r="F101" s="125" t="s"/>
      <c r="G101" s="125" t="s"/>
      <c r="H101" s="125" t="s"/>
      <c r="I101" s="125" t="s"/>
      <c r="J101" s="125" t="s"/>
      <c r="K101" s="125" t="s"/>
      <c r="L101" s="125" t="s"/>
      <c r="M101" s="125" t="s"/>
      <c r="N101" s="125" t="s"/>
      <c r="O101" s="125" t="s"/>
      <c r="P101" s="125" t="s"/>
      <c r="Q101" s="125" t="s"/>
      <c r="R101" s="125" t="s"/>
      <c r="S101" s="125" t="s"/>
      <c r="T101" s="125" t="s"/>
      <c r="U101" s="125" t="s"/>
      <c r="V101" s="125" t="s"/>
    </row>
  </sheetData>
  <mergeCells count="25">
    <mergeCell ref="A1:Q1"/>
    <mergeCell ref="A17:Q17"/>
    <mergeCell ref="A45:Q45"/>
    <mergeCell ref="A2:A3"/>
    <mergeCell ref="A18:A19"/>
    <mergeCell ref="A46:A47"/>
    <mergeCell ref="A76:A77"/>
    <mergeCell ref="B2:B3"/>
    <mergeCell ref="B18:B19"/>
    <mergeCell ref="B46:B47"/>
    <mergeCell ref="H76:H77"/>
    <mergeCell ref="I76:I77"/>
    <mergeCell ref="J76:J77"/>
    <mergeCell ref="K2:K3"/>
    <mergeCell ref="K46:K47"/>
    <mergeCell ref="K76:K77"/>
    <mergeCell ref="L2:L3"/>
    <mergeCell ref="L46:L47"/>
    <mergeCell ref="M2:M3"/>
    <mergeCell ref="M46:M47"/>
    <mergeCell ref="P2:P3"/>
    <mergeCell ref="P18:P19"/>
    <mergeCell ref="Q2:Q3"/>
    <mergeCell ref="Q18:Q19"/>
    <mergeCell ref="Q46:Q4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2026-06-02T15:18:14Z</dcterms:created>
  <dcterms:modified xsi:type="dcterms:W3CDTF">2026-06-02T15:18:14Z</dcterms:modified>
</cp:coreProperties>
</file>